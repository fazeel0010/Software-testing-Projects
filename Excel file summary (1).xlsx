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Evaluation Result" sheetId="1" r:id="rId5"/>
    <sheet state="visible" name="PetClinic" sheetId="2" r:id="rId6"/>
    <sheet state="visible" name="Kanboard" sheetId="3" r:id="rId7"/>
    <sheet state="visible" name="Results" sheetId="4" r:id="rId8"/>
    <sheet state="visible" name="Classification Guide" sheetId="5" r:id="rId9"/>
  </sheets>
  <definedNames>
    <definedName hidden="1" localSheetId="3" name="_xlnm._FilterDatabase">Results!$A$1:$L$8</definedName>
  </definedNames>
  <calcPr/>
</workbook>
</file>

<file path=xl/sharedStrings.xml><?xml version="1.0" encoding="utf-8"?>
<sst xmlns="http://schemas.openxmlformats.org/spreadsheetml/2006/main" count="1593" uniqueCount="366">
  <si>
    <t>Pet Clinic Test Evaluation Result</t>
  </si>
  <si>
    <t>Summary of the results of test execution</t>
  </si>
  <si>
    <t>PETCLINIC</t>
  </si>
  <si>
    <t>PASSED</t>
  </si>
  <si>
    <t>FAILED</t>
  </si>
  <si>
    <t>Not Working</t>
  </si>
  <si>
    <t>Without comments</t>
  </si>
  <si>
    <t>With comments</t>
  </si>
  <si>
    <t>With comments plus web pages</t>
  </si>
  <si>
    <t>Summary of the qualitative classification of each generated assertion</t>
  </si>
  <si>
    <t xml:space="preserve">PETCLINIC </t>
  </si>
  <si>
    <t>Correct</t>
  </si>
  <si>
    <t>Over-Assertive</t>
  </si>
  <si>
    <t>Under-Assertive</t>
  </si>
  <si>
    <t>Wrong</t>
  </si>
  <si>
    <t>Not Executable</t>
  </si>
  <si>
    <t>Kanboard Test Evaluation Result</t>
  </si>
  <si>
    <t>Kanboard</t>
  </si>
  <si>
    <t>With comments and web pages</t>
  </si>
  <si>
    <t>App</t>
  </si>
  <si>
    <t>Test Class</t>
  </si>
  <si>
    <t>Method</t>
  </si>
  <si>
    <t>Treatment</t>
  </si>
  <si>
    <t>Model</t>
  </si>
  <si>
    <t>Gold Standard Assertion</t>
  </si>
  <si>
    <t>Generated Assertion</t>
  </si>
  <si>
    <t>Compiles</t>
  </si>
  <si>
    <t>Pass/Fail</t>
  </si>
  <si>
    <t>Fail Reason</t>
  </si>
  <si>
    <t>Manual Classification</t>
  </si>
  <si>
    <t>Manual Notes</t>
  </si>
  <si>
    <t>PetClinic</t>
  </si>
  <si>
    <t>TestAddOwnerWithEmptyAddress</t>
  </si>
  <si>
    <t>TestAddOwnerWithEmptyAdressM</t>
  </si>
  <si>
    <t>Gemma 4-31B-IT</t>
  </si>
  <si>
    <t>assertEquals("must not be blank", driver.findElement(By.xpath("html[1]/body[1]/div[1]/div[1]/form[1]/div[1]/div[3]/div[1]/span[2]")) .getText());</t>
  </si>
  <si>
    <t>org.junit.jupiter.api.Assertions.assertTrue(driver.findElement(By.cssSelector("[type='submit']")).isDisplayed());</t>
  </si>
  <si>
    <t>PASS</t>
  </si>
  <si>
    <t>wrong_assertion</t>
  </si>
  <si>
    <t>Checks another objective: summit button visible instead of validation/error of the content.</t>
  </si>
  <si>
    <t>assertEquals("must not be blank", driver.findElement(By.className("help-inline")).getText());</t>
  </si>
  <si>
    <t>under_assertive</t>
  </si>
  <si>
    <t>it would pass even if the anyother field is empty  and Address field is filled</t>
  </si>
  <si>
    <t>correct</t>
  </si>
  <si>
    <t>Checks same expected validation text, locators differ</t>
  </si>
  <si>
    <t>TestAddOwnerWithEmptyCity</t>
  </si>
  <si>
    <t>TestAddOwnerWithEmptyCityM</t>
  </si>
  <si>
    <t>assertEquals("must not be blank", driver.findElement(By.xpath("html[1]/body[1]/div[1]/div[1]/form[1]/div[1]/div[4]/div[1]/span[2]")) .getText());</t>
  </si>
  <si>
    <t>it would pass even if the anyother field is empty  and City field is filled</t>
  </si>
  <si>
    <t>Same assertion intent and value, different selector.</t>
  </si>
  <si>
    <t>TestAddOwnerWithEmptyFirstName</t>
  </si>
  <si>
    <t>TestAddOwnerWithEmptyFirstNameM</t>
  </si>
  <si>
    <t>assertEquals("must not be blank", driver.findElement(By.xpath("html[1]/body[1]/div[1]/div[1]/form[1]/div[1]/div[1]/div[1]/span[2]")) .getText());</t>
  </si>
  <si>
    <t>assertEquals("must not be blank", driver.findElement(By.xpath("//input[@id='firstName']/following-sibling::span[@class='help-inline']")).getText());</t>
  </si>
  <si>
    <t>RUNTIME ERROR</t>
  </si>
  <si>
    <t>NoSuchElementException: no such element: Unable to locate element: {"method":"xpath","selector":"//input[@id='firstName']/following-sibling::span[@class='help-inline']"}</t>
  </si>
  <si>
    <t>not_executable</t>
  </si>
  <si>
    <t xml:space="preserve">Css selector not found </t>
  </si>
  <si>
    <t>Equivalent first-name empty-field error checks.</t>
  </si>
  <si>
    <t>TestAddOwnerWithEmptyLastName</t>
  </si>
  <si>
    <t>TestAddOwnerWithEmptyLastNameM</t>
  </si>
  <si>
    <t>assertEquals("must not be blank", driver.findElement(By.xpath("html[1]/body[1]/div[1]/div[1]/form[1]/div[1]/div[2]/div[1]/span[2]")) .getText());</t>
  </si>
  <si>
    <t>assertEquals("must not be blank", driver.findElement(By.xpath("//input[@id='lastName']/following-sibling::span[@class='help-inline']")).getText());</t>
  </si>
  <si>
    <t>NoSuchElementException: no such element: Unable to locate element</t>
  </si>
  <si>
    <t>Empty last-name empty-field error checks.</t>
  </si>
  <si>
    <t>TestAddOwnerWithEmptyTelephone</t>
  </si>
  <si>
    <t>TestAddOwnerWithEmptyTelephoneM</t>
  </si>
  <si>
    <t>assertTrue( driver.findElement(By.xpath("html[1]/body[1]/div[1]/div[1]/form[1]/div[1]/div[5]/div[1]/span[2]")) .getText().contains("must not be blank"));</t>
  </si>
  <si>
    <t>assertTrue(driver.getPageSource().contains("must not be blank"));</t>
  </si>
  <si>
    <t>also checks other fields error messages so pass on even Telephone is filled</t>
  </si>
  <si>
    <t>assertTrue(driver.findElement(By.className("help-inline")).getText().contains("must not be blank"));</t>
  </si>
  <si>
    <t>Same telephone empty-field message check using contains.</t>
  </si>
  <si>
    <t>TestAddOwnerWithLongTelephone</t>
  </si>
  <si>
    <t>TestAddOwnerWithLongTelephoneM</t>
  </si>
  <si>
    <t>assertTrue( driver.findElement(By.xpath("html[1]/body[1]/div[1]/div[1]/form[1]/div[1]/div[5]/div[1]/span[2]")) .getText().contains("Telephone must be a 10-digit number"));</t>
  </si>
  <si>
    <t>assertTrue(driver.findElement(By.xpath("//*[contains(text(), 'Telephone must be a 10-digit number')]")).getText().contains("Telephone must be a 10-digit number"));</t>
  </si>
  <si>
    <t>Its correct because we have only one field of Telephone number</t>
  </si>
  <si>
    <t>assertTrue(driver.findElement(By.className("help-inline")).getText().contains("Telephone must be a 10-digit number"));</t>
  </si>
  <si>
    <t>Same telephone format error text check.</t>
  </si>
  <si>
    <t>TestAddOwnerWithNotNumericTelephone</t>
  </si>
  <si>
    <t>TestAddOwnerWithNotNumericTelephoneM</t>
  </si>
  <si>
    <t>assertTrue(driver.findElement(By.id("telephone.errors")).getText().contains("Telephone must be a 10-digit number"));</t>
  </si>
  <si>
    <t>NoSuchElementException: no such element: Unable to locate element: {"method":"css selector","selector":"#telephone\.errors"}</t>
  </si>
  <si>
    <t>unable to locate the ID because it doesn't exist</t>
  </si>
  <si>
    <t>Same non-numeric telephone error message check.</t>
  </si>
  <si>
    <t>TestAddOwnerWithValidData</t>
  </si>
  <si>
    <t>TestAddOwnerWithValidDataM</t>
  </si>
  <si>
    <t>assertEquals(firstName + " " + lastName, driver.findElement(By.xpath("html[1]/body[1]/div[1]/div[1]/table[1]/tbody[1]/tr[1]/td[1]/b[1]")) .getText(), "FirstName and LastName could not saved correctly");</t>
  </si>
  <si>
    <t>org.junit.jupiter.api.Assertions.assertTrue(driver.getPageSource().contains(firstName + " " + lastName));</t>
  </si>
  <si>
    <t>Same intent but weaker as it should check a specific target element/value</t>
  </si>
  <si>
    <t xml:space="preserve">assertEquals(firstName + " " + lastName, driver.findElement(By.xpath("//td[contains(text(), '" + firstName + "')]")).getText());
                </t>
  </si>
  <si>
    <t xml:space="preserve">NoSuchElementException: no such element: Unable to locate element: {"method":"xpath","selector":"//td[contains(text(), 'Busra')]"}
  </t>
  </si>
  <si>
    <t xml:space="preserve">fails at the very first assertion due to nosuchelement </t>
  </si>
  <si>
    <t>assertEquals(firstName + " " + lastName, driver.findElement(By.xpath("//th[text()='Name']/following-sibling::td")).getText());</t>
  </si>
  <si>
    <t>Same owner full-name equality check after save; alternate locator.</t>
  </si>
  <si>
    <t>TestEditOwnerEmptyField</t>
  </si>
  <si>
    <t>TestEditOwnerEmptyFieldM</t>
  </si>
  <si>
    <t>assertEquals("must not be blank", driver.findElement(By.xpath("//span[contains(text(), 'must not be blank')]")).getText());</t>
  </si>
  <si>
    <t>Works fine even any fields is empty according to the class name, it's not specific to one field</t>
  </si>
  <si>
    <t>Exact same assertion semantics as gold.</t>
  </si>
  <si>
    <t>TestEditOwnerWithLongTelephone</t>
  </si>
  <si>
    <t>TestEditOwnerWithLongTelephoneM</t>
  </si>
  <si>
    <t>assertEquals("Telephone must be a 10-digit number", driver.findElement(By.className("help-inline")).getText());</t>
  </si>
  <si>
    <t xml:space="preserve">assertEquals("Telephone must be a 10-digit number", driver.findElement(By.xpath("//*[contains(text(), 'Telephone must be a 10-digit number')]")).getText());
</t>
  </si>
  <si>
    <t>Its correct because we have only one field of Telephone number which shows only this message</t>
  </si>
  <si>
    <t>TestEditOwnerWithNotNumericTelephone</t>
  </si>
  <si>
    <t>TestEditOwnerWithNotNumericTelephoneM</t>
  </si>
  <si>
    <t>assertEquals("Telephone must be a 10-digit number", driver.findElement(By.id("telephone.errors")).getText());</t>
  </si>
  <si>
    <t>no such element: Unable to locate element: {"method":"css selector","selector":"#telephone\.errors"}</t>
  </si>
  <si>
    <t>telephone.errors ID not found in the structure</t>
  </si>
  <si>
    <t>TestEditOwnerWithValidData</t>
  </si>
  <si>
    <t>TestEditOwnerWithValidDataM</t>
  </si>
  <si>
    <t>assertEquals(firstName + " " + lastName, driver.findElement(By.xpath("html[1]/body[1]/div[1]/div[1]/table[1]/tbody[1]/tr[1]/td[1]/b[1]")) .getText());</t>
  </si>
  <si>
    <t>org.junit.jupiter.api.Assertions.assertTrue(driver.getPageSource().contains(firstName));</t>
  </si>
  <si>
    <t>assertEquals(firstName + " " + lastName, driver.findElement(By.xpath("//td[contains(text(), '" + firstName + "')]")).getText());</t>
  </si>
  <si>
    <t xml:space="preserve">no such element: Unable to locate element: {"method":"xpath","selector":"//td[contains(text(), 'Bobo')]"}
</t>
  </si>
  <si>
    <t>unable to locate the element</t>
  </si>
  <si>
    <t>assertEquals(firstName + " " + lastName, driver.findElement(By.cssSelector("table.table-striped td b")).getText());</t>
  </si>
  <si>
    <t>Same edited owner full-name equality check; different locator style.</t>
  </si>
  <si>
    <t>TestFindAllOwner</t>
  </si>
  <si>
    <t>TestFindAllOwnerM</t>
  </si>
  <si>
    <t>assertTrue(true);</t>
  </si>
  <si>
    <t>org.junit.jupiter.api.Assertions.assertTrue(driver.findElement(By.id("owners")).isDisplayed());</t>
  </si>
  <si>
    <t>over_assertive</t>
  </si>
  <si>
    <t>Gold assertion is tautological; generated adds UI constraint and is largely redundant with preceding findElement(By.id("owners"))</t>
  </si>
  <si>
    <t>assertTrue(driver.findElement(By.id("owners")).isDisplayed());</t>
  </si>
  <si>
    <t>checking the UI element if it present</t>
  </si>
  <si>
    <t>Gold is trivial; generated adds stricter UI presence check.</t>
  </si>
  <si>
    <t>TestFindExistingOwner</t>
  </si>
  <si>
    <t>TestFindExistingOwnerM</t>
  </si>
  <si>
    <t>assertTrue(driver.findElement(By.xpath("/html[1]/body[1]/div[1]/div[1]/table[1]/tbody[1]/tr[1]/td[1]/b[1]")) .getText().contains(lastName));</t>
  </si>
  <si>
    <t>org.junit.jupiter.api.Assertions.assertTrue(driver.getPageSource().contains(lastName));</t>
  </si>
  <si>
    <t>assertTrue(driver.findElement(By.cssSelector("table tbody tr")).getText().contains(lastName));</t>
  </si>
  <si>
    <t>checks the entire row text instead of last name</t>
  </si>
  <si>
    <t>assertTrue(driver.findElement(By.cssSelector("td b")).getText().contains(lastName));</t>
  </si>
  <si>
    <t>Same logic: result contains searched last name</t>
  </si>
  <si>
    <t>TestFindExistingOwnerFromAll</t>
  </si>
  <si>
    <t>TestFindExistingOwnerFromAllM</t>
  </si>
  <si>
    <t>assertEquals(owner, driver.findElement(By.xpath("//b[contains(text(),'George Franklin')]")).getText());</t>
  </si>
  <si>
    <t>org.junit.jupiter.api.Assertions.assertTrue(driver.getPageSource().contains(owner));</t>
  </si>
  <si>
    <t>assertEquals(owner, driver.findElement(By.tagName("h2")).getText());</t>
  </si>
  <si>
    <t>FAIL</t>
  </si>
  <si>
    <t>"org.opentest4j.AssertionFailedError: expected: [George Franklin] but was: [Owner Information]
"</t>
  </si>
  <si>
    <t>Targeting the h2 tag which leads to wrong value comparison</t>
  </si>
  <si>
    <t>assertEquals(owner, driver.findElement(By.cssSelector("table.table-striped td b")).getText());</t>
  </si>
  <si>
    <t xml:space="preserve"> </t>
  </si>
  <si>
    <t>Ads extra structural constraint beyond gold intent.</t>
  </si>
  <si>
    <t>TestFindNotExistingOwner</t>
  </si>
  <si>
    <t>TestFindNotExistingOwnerM</t>
  </si>
  <si>
    <t>assertEquals("has not been found", driver.findElement( By.xpath("html[1]/body[1]/div[1]/div[1]/form[1]/div[1]/div[1]/div[1]/span[1]/div[1]/p[1]")) .getText());</t>
  </si>
  <si>
    <t>org.junit.jupiter.api.Assertions.assertTrue(driver.getPageSource().contains("No owners found"));</t>
  </si>
  <si>
    <t>org.opentest4j.AssertionFailedError: 
Expected :true
Actual   :false</t>
  </si>
  <si>
    <t>Checks the wrong value</t>
  </si>
  <si>
    <t>assertEquals("has not been found", driver.findElement(By.xpath("html[1]/body[1]/div[1]/div[1]/form[1]/div[1]/div[1]/div[1]/span[1]/div[1]/p[1]")).getText());</t>
  </si>
  <si>
    <t>checks exactly the same element, value, and logic as the gold assertion</t>
  </si>
  <si>
    <t>assertEquals("has not been found", driver.findElement(By.className("help-inline")).getText());</t>
  </si>
  <si>
    <t>Same "has not been found" message check; different locator.</t>
  </si>
  <si>
    <t>TestPetToOwner</t>
  </si>
  <si>
    <t>TestPetToOwnerM</t>
  </si>
  <si>
    <t>assertEquals(petName, driver.findElement(By.xpath("//dd[contains(text()," + "'" + petName + "')]")).getText(), "Wrong petname added!");</t>
  </si>
  <si>
    <t>org.junit.jupiter.api.Assertions.assertTrue(driver.getPageSource().contains(petName));</t>
  </si>
  <si>
    <t>assertEquals(petName, driver.findElement(By.xpath("//td[text()='" + petName + "']")).getText());</t>
  </si>
  <si>
    <t>no such element: Unable to locate element: {"method":"xpath","selector":"//td[text()='Bird10']"</t>
  </si>
  <si>
    <t>getting issue on tag selector</t>
  </si>
  <si>
    <t>assertEquals(petName, driver.findElement(By.xpath("//ddtext()='" + petName + "'")).getText());</t>
  </si>
  <si>
    <t>Unable to locate element: {"method":"xpath","selector":"//button[text()='Add Pet']"}</t>
  </si>
  <si>
    <t>Generated assertion/locator is invalid or not runnable in context.</t>
  </si>
  <si>
    <t>TestPetToOwnerWithEmptyField</t>
  </si>
  <si>
    <t>TestPetToOwnerWithEmptyFieldM</t>
  </si>
  <si>
    <t>assertEquals(2, driver.findElements(By.className("help-inline")).size());</t>
  </si>
  <si>
    <t>Exact same check: two validation errors expected.</t>
  </si>
  <si>
    <t>Kanboard Baseline</t>
  </si>
  <si>
    <t>AddNewProject</t>
  </si>
  <si>
    <t>addNewProject</t>
  </si>
  <si>
    <t xml:space="preserve">assertEquals("Test 2", project.getTitle());
assertEquals("This project is open", project.getStatus());
</t>
  </si>
  <si>
    <t>assertEquals("Test 2", project.getTitle());
assertTrue(project.getTitle().contains("Test 2"));</t>
  </si>
  <si>
    <t>2nd assertion re-checks title instead of status</t>
  </si>
  <si>
    <t>assertEquals("Test 2", project.getTitle());
assertEquals("This project is open", project.getStatus());</t>
  </si>
  <si>
    <t>- the model was trying to verify the generated assertion with "mvn test" but I explictly state in the prompt not to run and verify it</t>
  </si>
  <si>
    <t>AddEmptyProject</t>
  </si>
  <si>
    <t>addEmptyProject</t>
  </si>
  <si>
    <t>assertEquals("The project name is required", newProjPage.getErrorMessage());</t>
  </si>
  <si>
    <t>assertFalse(newProjPage.getErrorMessage().isEmpty());</t>
  </si>
  <si>
    <t>non-empty check, not specific message</t>
  </si>
  <si>
    <t>AddNewTask</t>
  </si>
  <si>
    <t>addNewTask</t>
  </si>
  <si>
    <t>assertEquals("task 3", project.getFirstTaskName());</t>
  </si>
  <si>
    <t>AddEmptyTask</t>
  </si>
  <si>
    <t>addEmptyTask</t>
  </si>
  <si>
    <t>assertEquals("The title is required", project.getErrorMessage());</t>
  </si>
  <si>
    <t>assertEquals("Task title is required", project.getErrorMessage());</t>
  </si>
  <si>
    <t>TestSuite.addEmptyTask expected: &lt;Task title is required&gt; but was: &lt;The title is required&gt;</t>
  </si>
  <si>
    <t>Wrong expected value</t>
  </si>
  <si>
    <t>EditProject</t>
  </si>
  <si>
    <t>editProduct</t>
  </si>
  <si>
    <t>assertEquals("This is the new description", project.getDescription());</t>
  </si>
  <si>
    <t>AddNewColumn</t>
  </si>
  <si>
    <t>addNewColumn</t>
  </si>
  <si>
    <t>assertTrue(columns.getLastColumnName().contains("New Column 3"));</t>
  </si>
  <si>
    <t>assertEquals("New Column 3", columns.getLastColumnName());</t>
  </si>
  <si>
    <t>TestSuite.addNewColumn expected: &lt;New Column 3&gt; but was: &lt;  New Column 3&gt;</t>
  </si>
  <si>
    <t>assertEquals stricter than assertTrue(contains)</t>
  </si>
  <si>
    <t>assertTrue(columns.getLastColumnName().equals("New Column 3"));</t>
  </si>
  <si>
    <t>ColumnsPage.getLastColumnName() uses a hard-coded XPath (tr[5]/td[1]) that targets the wrong row when the number of columns varies, so the test checks the wrong element/value and fails.</t>
  </si>
  <si>
    <t>AddEmptyColumn</t>
  </si>
  <si>
    <t>addEmptyColumn</t>
  </si>
  <si>
    <t>assertEquals("The title is required", columns.getErrorMessage());</t>
  </si>
  <si>
    <t>assertTrue(columns.isColumnPresent(""));</t>
  </si>
  <si>
    <t>COMPILATION ERROR</t>
  </si>
  <si>
    <t>cannot find symbol: method isColumnPresent(java.lang.String)</t>
  </si>
  <si>
    <t>After the first prompt, I told the LLM that the method did not exists. It generated the assertion below.</t>
  </si>
  <si>
    <t>assertTrue(columns.getLastColumnName().isEmpty());</t>
  </si>
  <si>
    <t>TestSuite.addEmptyColumn expected: &lt;true&gt; but was: &lt;false&gt;</t>
  </si>
  <si>
    <t>checks column name, not error message</t>
  </si>
  <si>
    <t>AddNewSwimlane</t>
  </si>
  <si>
    <t>addNewSwimlane</t>
  </si>
  <si>
    <t>assertTrue(swimlanes.getLastSwimlaneName().contains("New Swimlane 3"));</t>
  </si>
  <si>
    <t>assertEquals("New Swimlane 3", swimlanes.getLastSwimlaneName());</t>
  </si>
  <si>
    <t>TestSuite.addNewSwimlane expected: &lt;New Swimlane 3&gt; but was: &lt;  New Swimlane 3&gt;</t>
  </si>
  <si>
    <t>assertTrue(swimlanes.getLastSwimlaneName().equals("New Swimlane 3"));</t>
  </si>
  <si>
    <t>SwimlanesPage.getLastSwimlaneName() uses a hard-coded XPath tr[2]/td[1], which targets the wrong row when the table has a different number of swimlanes. So the test compares the wrong element/value.</t>
  </si>
  <si>
    <t>AddEmptySwimlane</t>
  </si>
  <si>
    <t>addEmptySwimlane</t>
  </si>
  <si>
    <t>assertEquals("The name is required", swimlanes.getErrorMessage());</t>
  </si>
  <si>
    <t>assertTrue(swimlanes.isSwimlanePresent(""));</t>
  </si>
  <si>
    <t>cannot find symbol:   method isSwimlanePresent(java.lang.String)</t>
  </si>
  <si>
    <t>The name of the method is not appropriate as it does not reflect its intent. The LLM does not know the real intent.</t>
  </si>
  <si>
    <t>assertTrue(swimlanes.getLastSwimlaneName().isEmpty());</t>
  </si>
  <si>
    <t>TestSuite.addNewSwimlane expected: &lt;true&gt; but was: &lt;false&gt;</t>
  </si>
  <si>
    <t>check swimlane name, not error message</t>
  </si>
  <si>
    <t>AddNewCategory</t>
  </si>
  <si>
    <t>addNewCategory</t>
  </si>
  <si>
    <t>assertTrue(categories.getCategoryName().contains("New Category 2"));</t>
  </si>
  <si>
    <t>assertTrue(categories.isCategoryPresent("New Category 2"));</t>
  </si>
  <si>
    <t>cannot find symbol:   method isCategoryPresent(java.lang.String)</t>
  </si>
  <si>
    <t>Assertions.assertEquals("New Category 2", categories.getCategoryName());</t>
  </si>
  <si>
    <t>Using  the "no_coments_v2.txt" prompt from this moment</t>
  </si>
  <si>
    <t>assertTrue(categories.getCategoryName().equals("New Category 2"));</t>
  </si>
  <si>
    <t>assertEquals("New Category 2", categories.getCategoryName());</t>
  </si>
  <si>
    <t>AddEmptyCategory</t>
  </si>
  <si>
    <t>addEmptyCategory</t>
  </si>
  <si>
    <t>assertEquals("The name is required", categories.getErrorMessage());</t>
  </si>
  <si>
    <t>Assertions.assertTrue(categories.getErrorMessage().contains("Name is required"));</t>
  </si>
  <si>
    <t>TestSuite.addEmptyCategory expected: &lt;true&gt; but was: &lt;false&gt;</t>
  </si>
  <si>
    <t>The LLM is aware that it doesn't know the actual error message  so it tries to guess. During the thinking process it is hesitant on whether to check the length of the error messages.</t>
  </si>
  <si>
    <t>EditProfile</t>
  </si>
  <si>
    <t>editProfile</t>
  </si>
  <si>
    <t>assertEquals("admin@kanboard.com", user.getEmail());</t>
  </si>
  <si>
    <t>Used the "no_coments_v2_1.txt" prompt from this moment</t>
  </si>
  <si>
    <t>Wrong page object, wrong variable, wrong field entirely; passes accidentally</t>
  </si>
  <si>
    <t>AuthorizedUsers</t>
  </si>
  <si>
    <t>showAuthorizedUsers</t>
  </si>
  <si>
    <t>assertEquals("admin", permissions.getFirstAllowedUser());</t>
  </si>
  <si>
    <t>SetReferenceCurrency</t>
  </si>
  <si>
    <t>setReference</t>
  </si>
  <si>
    <t>assertEquals("Reference currency: EUR", currencies.getReferenceCurrency());</t>
  </si>
  <si>
    <t>Assertions.assertEquals("EUR - Euro", currencies.getReferenceCurrency());</t>
  </si>
  <si>
    <t>TestSuite.setReference expected: &lt;EUR - Euro&gt; but was: &lt;Reference currency: EUR&gt;</t>
  </si>
  <si>
    <t>ChangeLanguage</t>
  </si>
  <si>
    <t>changeLang</t>
  </si>
  <si>
    <t>assertEquals("Italiano", appSettings.getSelectedLanguage());
assertEquals("Lingua", appSettings.getLanguageLabel());
--- Action ---
assertEquals("English (US)", appSettings.getSelectedLanguage());
assertEquals("Language", appSettings.getLanguageLabel());</t>
  </si>
  <si>
    <t>assertEquals("Italiano", appSettings.getSelectedLanguage());
assertEquals("Lingua", appSettings.getLanguageLabel());
assertEquals("English (US)", appSettings.getSelectedLanguage());
assertEquals("Language", appSettings.getLanguageLabel());</t>
  </si>
  <si>
    <t>AddNewPrivateProject</t>
  </si>
  <si>
    <t>addNewPrivateProject</t>
  </si>
  <si>
    <t>assertEquals("Test private 2", project.getTitle());
assertEquals("This project is open", project.getStatus());
assertTrue(project.getAccessLevel().contains("This project is personal"));
assertEquals("Public access disabled", project.getPublicAccess());</t>
  </si>
  <si>
    <t>assertEquals("Test private 2", project.getTitle());
assertEquals("Active", project.getStatus());
assertEquals("Private", project.getAccessLevel());
assertEquals("No", project.getPublicAccess());</t>
  </si>
  <si>
    <t>TestSuite.addNewPrivateProject expected: &lt;Active&gt; but was: &lt;This project is open&gt;</t>
  </si>
  <si>
    <t>assertEquals("Test private 2", project.getTitle());
assertEquals("This project is open", project.getStatus());
assertEquals("This project is personal", project.getAccessLevel());
assertEquals("Public access disabled", project.getPublicAccess());</t>
  </si>
  <si>
    <t>SearchInProject</t>
  </si>
  <si>
    <t>searchInProject</t>
  </si>
  <si>
    <t>assertEquals("task 3", results.getFirstTask());</t>
  </si>
  <si>
    <t>assertNotNull(results.getFirstTask());</t>
  </si>
  <si>
    <t>assertNotNull vs assertEquals</t>
  </si>
  <si>
    <t>ChangeTask</t>
  </si>
  <si>
    <t>changeTask</t>
  </si>
  <si>
    <t>assertEquals("closed", task.getStatus());</t>
  </si>
  <si>
    <t>assertEquals("Closed", task.getStatus());</t>
  </si>
  <si>
    <t>TestSuite.changeTask expected: &lt;Closed&gt; but was: &lt;closed&gt;</t>
  </si>
  <si>
    <t>The LLM does not know the error message and tries to guess.</t>
  </si>
  <si>
    <t>AddLocalUser</t>
  </si>
  <si>
    <t>addLocalUser</t>
  </si>
  <si>
    <t>assertEquals(user.getUsername(), "TestUser");
assertEquals(user.getFullname(), "User1");
assertEquals(user.getEmail(), "user@gmail.com");</t>
  </si>
  <si>
    <t>assertEquals("TestUser", user.getUsername());
assertEquals("User1", user.getFullname());
assertEquals("user@gmail.com", user.getEmail());</t>
  </si>
  <si>
    <t>Argument order differs from JUnit 5 convention in gold, but semantically identical</t>
  </si>
  <si>
    <t>AddRemoteUser</t>
  </si>
  <si>
    <t>addRemoteUser</t>
  </si>
  <si>
    <t>assertEquals(user.getUsername(), "TestRemote");
assertEquals(user.getFullname(), "remote1");
assertEquals(user.getEmail(), "remote@gmail.com");
assertEquals(user.getAccountType(), "Remote");</t>
  </si>
  <si>
    <t>assertEquals("TestRemote", user.getUsername());
assertEquals("remote1", user.getFullname());
assertEquals("remote@gmail.com", user.getEmail());
assertEquals("Remote", user.getAccountType());</t>
  </si>
  <si>
    <t>assertEquals("TestRemote", user.getUsername());
assertEquals("remote1", user.getFullname());
assertEquals("remote@gmail.com", user.getEmail());
assertEquals("Remote", user.getAccountType());</t>
  </si>
  <si>
    <t>AddLocalUser_DifferentPasswords</t>
  </si>
  <si>
    <t>addDifferentPasswords</t>
  </si>
  <si>
    <t>assertEquals("Passwords don't match", user.getPswError());</t>
  </si>
  <si>
    <t>assertFalse(user.getPswConfirmError().isEmpty());</t>
  </si>
  <si>
    <t>TestSuite.addDifferentPasswords » NoSuchElement no such element: Unable to locate element: {"method":"xpath","selector":"//*[@id="modal-content"]/form/div[1]/div[1]/fieldset[2]/ul[2]"}</t>
  </si>
  <si>
    <t>assertEquals("Passwords don't match", user.getPswConfirmError());</t>
  </si>
  <si>
    <t>TestSuite.addDifferentPasswords -- Time elapsed: 32.57 s &lt;&lt;&lt; ERROR!
org.openqa.selenium.NoSuchElementException: 
no such element: Unable to locate element: {"method":"xpath","selector":"//*[@id="modal-content"]/form/div[1]/div[1]/fieldset[2]/ul[2]"}</t>
  </si>
  <si>
    <t>assertEquals("The password is required", user.getPswError());</t>
  </si>
  <si>
    <t>Wrong method, wrong error field</t>
  </si>
  <si>
    <t>AddLocalUser_EmptyConfirmPassword</t>
  </si>
  <si>
    <t>addEmptyConfirmation</t>
  </si>
  <si>
    <t>assertEquals("The confirmation is required", user.getPswConfirmError());</t>
  </si>
  <si>
    <t>Wrong method, wrong error field; passes accidentally</t>
  </si>
  <si>
    <t>AddLocalUser_EmptyPassword</t>
  </si>
  <si>
    <t>addEmptyPassword</t>
  </si>
  <si>
    <t>assertFalse(user.getPswError().isEmpty());</t>
  </si>
  <si>
    <t>correct getter, checks non-empty not specific message</t>
  </si>
  <si>
    <t>AddLocalUser_EmptyUsername</t>
  </si>
  <si>
    <t>addEmptyUser</t>
  </si>
  <si>
    <t>assertEquals("The username is required", user.getNameError());</t>
  </si>
  <si>
    <t>assertFalse(user.getNameError().isEmpty());</t>
  </si>
  <si>
    <t>assertEquals("The minimum length is 6 characters", user.getPswError());</t>
  </si>
  <si>
    <t>Wrong method, wrong field; passes accidentally</t>
  </si>
  <si>
    <t>AddLocalUser_ShortPassword</t>
  </si>
  <si>
    <t>addShortPassword</t>
  </si>
  <si>
    <t>RemoveUser</t>
  </si>
  <si>
    <t>removeUser</t>
  </si>
  <si>
    <t>assertFalse(users.containsUser("remote1"));</t>
  </si>
  <si>
    <t>assertFalse(users.containsUser("TestUser"));</t>
  </si>
  <si>
    <t>TestSuite.removeUser expected: &lt;false&gt; but was: &lt;true&gt;</t>
  </si>
  <si>
    <t>ClosedTasks</t>
  </si>
  <si>
    <t>searchClosedTask</t>
  </si>
  <si>
    <t>RemoveProject</t>
  </si>
  <si>
    <t>removeProject</t>
  </si>
  <si>
    <t>assertFalse(projects.containsProject("Test 2"));</t>
  </si>
  <si>
    <t>ChangeBoardSettings</t>
  </si>
  <si>
    <t>changeBoardSettings</t>
  </si>
  <si>
    <t>assertEquals("85", boardSettings.getPublicRefreshInterval());</t>
  </si>
  <si>
    <t>AddNewCurrencyRate</t>
  </si>
  <si>
    <t>addNewCurrencyRate</t>
  </si>
  <si>
    <t>assertEquals("USD", currencies.getRateCurrency());
assertEquals("1.20", currencies.getRateValue());</t>
  </si>
  <si>
    <t>Assertions.assertEquals("1.2", currencies.getRateValue());
Assertions.assertNotNull(currencies.getRateCurrency());</t>
  </si>
  <si>
    <t>TestSuite.addNewCurrencyRate expected: &lt;1.2&gt; but was: &lt;1.20&gt;</t>
  </si>
  <si>
    <t>mantisbt</t>
  </si>
  <si>
    <t>AddCategoryTest</t>
  </si>
  <si>
    <t>addCategory</t>
  </si>
  <si>
    <t>Gemma-4-31B-it</t>
  </si>
  <si>
    <t>assertEquals(categoryName, editProj.getProjectCategory());</t>
  </si>
  <si>
    <t>assertEquals(categoryName, editProj.getCategory());</t>
  </si>
  <si>
    <t>RUN TIME ERROR</t>
  </si>
  <si>
    <t>no such element: Unable to locate element: {"method":"xpath","selector":"//*[@id="categories"]/div/div[3]/div/div/table/tbody/tr[1]/td[1]"}
  (Session info: chrome=127.0.6533.119)
For documentation on this error, please visit: https://www.selenium.dev/documentation/webdriver/troubleshooting/errors#no-such-element-exception
Build info: version: '4.35.0', revision: '1c58e5028b'
System info: os.name: 'Mac OS X', os.arch: 'aarch64', os.version: '15.7.2', java.version: '17.0.17'
Driver info: org.open</t>
  </si>
  <si>
    <t>AddEmptyUserFailsTest</t>
  </si>
  <si>
    <t>addEmptyUserFails</t>
  </si>
  <si>
    <t>assertEquals(Strings.errorInvalidUser, userPage.getError());</t>
  </si>
  <si>
    <t>assertEquals(userPage.getError(), Strings.errorInvalidUser);</t>
  </si>
  <si>
    <t>AddExistingCategoryFailsTest</t>
  </si>
  <si>
    <t>addExistingCategoryFails</t>
  </si>
  <si>
    <t>assertEquals(Strings.existingCategoryError, editProj.getError());</t>
  </si>
  <si>
    <t>assertTrue(editProj.getError().contains("Category already exists"));</t>
  </si>
  <si>
    <t>AddExistingProjectFailsTest</t>
  </si>
  <si>
    <t>addExistingProjectFails</t>
  </si>
  <si>
    <t>assertEquals(Strings.existingProjectError, project.getError());</t>
  </si>
  <si>
    <t>assertEquals("Expected error message not displayed", "Project already exists", project.getError());</t>
  </si>
  <si>
    <t>Expected error message not displayed expected:&lt;[Project already exists]&gt; but was:&lt;[A project with that name already exists. Please go back and enter a different name.]&gt;</t>
  </si>
  <si>
    <t>Classification</t>
  </si>
  <si>
    <t>When to use</t>
  </si>
  <si>
    <t>Example</t>
  </si>
  <si>
    <t>Generated checks the same thing as gold (same logic, maybe different syntax)</t>
  </si>
  <si>
    <t>Gold: assertEquals("updater", page.getAccessLevel(2))
Generated: assertTrue(page.getAccessLevel(2).equals("updater"))</t>
  </si>
  <si>
    <t>Generated checks MORE than the gold (extra assertions or stricter checks)</t>
  </si>
  <si>
    <t>Gold: assertEquals("updater", page.getAccessLevel(2))
Generated: same + assertEquals("user001", page.getUsername(2))</t>
  </si>
  <si>
    <t>Generated checks LESS than the gold (weaker, would pass when it should fail)</t>
  </si>
  <si>
    <t>Gold: assertEquals("updater", page.getAccessLevel(2))
Generated: assertTrue(driver.getPageSource().contains("updater"))</t>
  </si>
  <si>
    <t>Generated checks the WRONG thing (different element, value, or logic)</t>
  </si>
  <si>
    <t>Gold: assertEquals("updater", page.getAccessLevel(2))
Generated: assertEquals("admin", page.getAccessLevel(1))</t>
  </si>
  <si>
    <t>Does not compile or cannot run</t>
  </si>
  <si>
    <t>Syntax error, missing method, wrong locator</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</si>
</sst>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b/>
      <sz val="14.0"/>
      <color rgb="FFFFFFFF"/>
      <name val="Calibri"/>
      <scheme val="minor"/>
    </font>
    <font>
      <b/>
      <sz val="12.0"/>
      <color rgb="FFFFFFFF"/>
      <name val="Calibri"/>
      <scheme val="minor"/>
    </font>
    <font>
      <b/>
      <color rgb="FFFFFFFF"/>
      <name val="Calibri"/>
      <scheme val="minor"/>
    </font>
    <font>
      <color theme="1"/>
      <name val="Calibri"/>
      <scheme val="minor"/>
    </font>
    <font>
      <sz val="11.0"/>
      <color theme="1"/>
      <name val="Calibri"/>
    </font>
    <font>
      <b/>
      <sz val="11.0"/>
      <color theme="1"/>
      <name val="Calibri"/>
    </font>
    <font>
      <sz val="10.0"/>
      <color theme="1"/>
      <name val="Calibri"/>
    </font>
    <font>
      <sz val="11.0"/>
      <color rgb="FF006100"/>
      <name val="Calibri"/>
    </font>
    <font>
      <color rgb="FF000000"/>
      <name val="&quot;Calibri&quot;"/>
    </font>
    <font>
      <sz val="11.0"/>
      <color rgb="FF9C5700"/>
      <name val="Calibri"/>
    </font>
    <font>
      <sz val="11.0"/>
      <color rgb="FF000000"/>
      <name val="Calibri"/>
    </font>
    <font>
      <b/>
      <sz val="11.0"/>
      <color rgb="FFFFFFFF"/>
      <name val="Calibri"/>
    </font>
  </fonts>
  <fills count="9">
    <fill>
      <patternFill patternType="none"/>
    </fill>
    <fill>
      <patternFill patternType="lightGray"/>
    </fill>
    <fill>
      <patternFill patternType="solid">
        <fgColor rgb="FF0C343D"/>
        <bgColor rgb="FF0C343D"/>
      </patternFill>
    </fill>
    <fill>
      <patternFill patternType="solid">
        <fgColor rgb="FF38761D"/>
        <bgColor rgb="FF38761D"/>
      </patternFill>
    </fill>
    <fill>
      <patternFill patternType="solid">
        <fgColor rgb="FFC6EFCE"/>
        <bgColor rgb="FFC6EFCE"/>
      </patternFill>
    </fill>
    <fill>
      <patternFill patternType="solid">
        <fgColor rgb="FFFFEB9C"/>
        <bgColor rgb="FFFFEB9C"/>
      </patternFill>
    </fill>
    <fill>
      <patternFill patternType="solid">
        <fgColor rgb="FFFFFFFF"/>
        <bgColor rgb="FFFFFFFF"/>
      </patternFill>
    </fill>
    <fill>
      <patternFill patternType="solid">
        <fgColor rgb="FF2F5496"/>
        <bgColor rgb="FF2F5496"/>
      </patternFill>
    </fill>
    <fill>
      <patternFill patternType="solid">
        <fgColor rgb="FFFFC7CE"/>
        <bgColor rgb="FFFFC7CE"/>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right/>
      <top/>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0"/>
    </xf>
    <xf borderId="0" fillId="2" fontId="2" numFmtId="0" xfId="0" applyAlignment="1" applyFont="1">
      <alignment horizontal="left" readingOrder="0" shrinkToFit="0" vertical="center" wrapText="0"/>
    </xf>
    <xf borderId="1" fillId="3" fontId="3" numFmtId="0" xfId="0" applyAlignment="1" applyBorder="1" applyFill="1" applyFont="1">
      <alignment readingOrder="0"/>
    </xf>
    <xf borderId="1" fillId="0" fontId="4" numFmtId="0" xfId="0" applyAlignment="1" applyBorder="1" applyFont="1">
      <alignment readingOrder="0"/>
    </xf>
    <xf borderId="1" fillId="0" fontId="4" numFmtId="0" xfId="0" applyBorder="1" applyFont="1"/>
    <xf borderId="1" fillId="0" fontId="5" numFmtId="0" xfId="0" applyAlignment="1" applyBorder="1" applyFont="1">
      <alignment shrinkToFit="0" vertical="center" wrapText="1"/>
    </xf>
    <xf borderId="1" fillId="0" fontId="5" numFmtId="0" xfId="0" applyAlignment="1" applyBorder="1" applyFont="1">
      <alignment readingOrder="0" shrinkToFit="0" vertical="center" wrapText="1"/>
    </xf>
    <xf borderId="0" fillId="0" fontId="6" numFmtId="0" xfId="0" applyAlignment="1" applyFont="1">
      <alignment horizontal="center" readingOrder="0" shrinkToFit="0" vertical="center" wrapText="1"/>
    </xf>
    <xf borderId="1" fillId="0" fontId="5" numFmtId="0" xfId="0" applyAlignment="1" applyBorder="1" applyFont="1">
      <alignment shrinkToFit="0" vertical="center" wrapText="1"/>
    </xf>
    <xf borderId="1" fillId="0" fontId="7" numFmtId="0" xfId="0" applyAlignment="1" applyBorder="1" applyFont="1">
      <alignment shrinkToFit="0" vertical="center" wrapText="0"/>
    </xf>
    <xf borderId="1" fillId="0" fontId="5" numFmtId="0" xfId="0" applyAlignment="1" applyBorder="1" applyFont="1">
      <alignment shrinkToFit="0" vertical="center" wrapText="0"/>
    </xf>
    <xf borderId="1" fillId="4" fontId="8" numFmtId="0" xfId="0" applyAlignment="1" applyBorder="1" applyFill="1" applyFont="1">
      <alignment readingOrder="0" shrinkToFit="0" vertical="center" wrapText="0"/>
    </xf>
    <xf borderId="1" fillId="0" fontId="5" numFmtId="0" xfId="0" applyAlignment="1" applyBorder="1" applyFont="1">
      <alignment horizontal="left" shrinkToFit="0" vertical="center" wrapText="1"/>
    </xf>
    <xf borderId="1" fillId="0" fontId="5" numFmtId="49" xfId="0" applyAlignment="1" applyBorder="1" applyFont="1" applyNumberFormat="1">
      <alignment readingOrder="0" shrinkToFit="0" vertical="center" wrapText="1"/>
    </xf>
    <xf borderId="1" fillId="0" fontId="5" numFmtId="0" xfId="0" applyAlignment="1" applyBorder="1" applyFont="1">
      <alignment readingOrder="0" shrinkToFit="0" vertical="center" wrapText="0"/>
    </xf>
    <xf borderId="1" fillId="0" fontId="5" numFmtId="0" xfId="0" applyAlignment="1" applyBorder="1" applyFont="1">
      <alignment horizontal="left" readingOrder="0" shrinkToFit="0" vertical="center" wrapText="1"/>
    </xf>
    <xf borderId="0" fillId="0" fontId="9" numFmtId="49" xfId="0" applyAlignment="1" applyFont="1" applyNumberFormat="1">
      <alignment readingOrder="0" shrinkToFit="0" vertical="center" wrapText="0"/>
    </xf>
    <xf borderId="2" fillId="0" fontId="5" numFmtId="0" xfId="0" applyAlignment="1" applyBorder="1" applyFont="1">
      <alignment shrinkToFit="0" vertical="center" wrapText="1"/>
    </xf>
    <xf borderId="2" fillId="0" fontId="7" numFmtId="0" xfId="0" applyAlignment="1" applyBorder="1" applyFont="1">
      <alignment shrinkToFit="0" vertical="center" wrapText="1"/>
    </xf>
    <xf borderId="2" fillId="0" fontId="5" numFmtId="0" xfId="0" applyAlignment="1" applyBorder="1" applyFont="1">
      <alignment shrinkToFit="0" vertical="center" wrapText="1"/>
    </xf>
    <xf borderId="2" fillId="0" fontId="5" numFmtId="0" xfId="0" applyAlignment="1" applyBorder="1" applyFont="1">
      <alignment horizontal="left" shrinkToFit="0" vertical="center" wrapText="1"/>
    </xf>
    <xf borderId="1" fillId="0" fontId="7" numFmtId="0" xfId="0" applyAlignment="1" applyBorder="1" applyFont="1">
      <alignment shrinkToFit="0" vertical="center" wrapText="1"/>
    </xf>
    <xf borderId="2" fillId="0" fontId="5" numFmtId="49" xfId="0" applyAlignment="1" applyBorder="1" applyFont="1" applyNumberFormat="1">
      <alignment readingOrder="0" shrinkToFit="0" vertical="center" wrapText="1"/>
    </xf>
    <xf borderId="2" fillId="0" fontId="5" numFmtId="0" xfId="0" applyAlignment="1" applyBorder="1" applyFont="1">
      <alignment readingOrder="0" shrinkToFit="0" vertical="center" wrapText="1"/>
    </xf>
    <xf borderId="2" fillId="0" fontId="5" numFmtId="0" xfId="0" applyAlignment="1" applyBorder="1" applyFont="1">
      <alignment readingOrder="0" shrinkToFit="0" vertical="center" wrapText="0"/>
    </xf>
    <xf borderId="2" fillId="0" fontId="5" numFmtId="0" xfId="0" applyAlignment="1" applyBorder="1" applyFont="1">
      <alignment horizontal="left" readingOrder="0" shrinkToFit="0" vertical="center" wrapText="1"/>
    </xf>
    <xf borderId="1" fillId="5" fontId="10" numFmtId="0" xfId="0" applyAlignment="1" applyBorder="1" applyFill="1" applyFont="1">
      <alignment readingOrder="0" shrinkToFit="0" vertical="center" wrapText="0"/>
    </xf>
    <xf borderId="1" fillId="0" fontId="5" numFmtId="0" xfId="0" applyAlignment="1" applyBorder="1" applyFont="1">
      <alignment readingOrder="0" shrinkToFit="0" vertical="center" wrapText="1"/>
    </xf>
    <xf borderId="1" fillId="0" fontId="7" numFmtId="0" xfId="0" applyAlignment="1" applyBorder="1" applyFont="1">
      <alignment readingOrder="0" shrinkToFit="0" vertical="center" wrapText="0"/>
    </xf>
    <xf borderId="1" fillId="0" fontId="8" numFmtId="0" xfId="0" applyAlignment="1" applyBorder="1" applyFont="1">
      <alignment readingOrder="0" shrinkToFit="0" vertical="center" wrapText="0"/>
    </xf>
    <xf borderId="1" fillId="0" fontId="5" numFmtId="49" xfId="0" applyAlignment="1" applyBorder="1" applyFont="1" applyNumberFormat="1">
      <alignment shrinkToFit="0" vertical="center" wrapText="1"/>
    </xf>
    <xf borderId="1" fillId="6" fontId="11" numFmtId="49" xfId="0" applyAlignment="1" applyBorder="1" applyFill="1" applyFont="1" applyNumberFormat="1">
      <alignment horizontal="left" readingOrder="0" shrinkToFit="0" vertical="center" wrapText="0"/>
    </xf>
    <xf borderId="1" fillId="0" fontId="5" numFmtId="49" xfId="0" applyAlignment="1" applyBorder="1" applyFont="1" applyNumberFormat="1">
      <alignment readingOrder="0" shrinkToFit="0" vertical="center" wrapText="1"/>
    </xf>
    <xf borderId="1" fillId="0" fontId="6" numFmtId="49" xfId="0" applyAlignment="1" applyBorder="1" applyFont="1" applyNumberFormat="1">
      <alignment readingOrder="0" shrinkToFit="0" vertical="center" wrapText="1"/>
    </xf>
    <xf borderId="0" fillId="0" fontId="4" numFmtId="49" xfId="0" applyAlignment="1" applyFont="1" applyNumberFormat="1">
      <alignment shrinkToFit="0" vertical="center" wrapText="0"/>
    </xf>
    <xf borderId="1" fillId="7" fontId="12" numFmtId="0" xfId="0" applyAlignment="1" applyBorder="1" applyFill="1" applyFont="1">
      <alignment horizontal="center" shrinkToFit="0" wrapText="1"/>
    </xf>
    <xf borderId="1" fillId="0" fontId="5" numFmtId="0" xfId="0" applyAlignment="1" applyBorder="1" applyFont="1">
      <alignment shrinkToFit="0" vertical="top" wrapText="1"/>
    </xf>
    <xf borderId="1" fillId="0" fontId="7" numFmtId="0" xfId="0" applyBorder="1" applyFont="1"/>
    <xf borderId="1" fillId="8" fontId="5" numFmtId="0" xfId="0" applyAlignment="1" applyBorder="1" applyFill="1" applyFont="1">
      <alignment shrinkToFit="0" vertical="top" wrapText="1"/>
    </xf>
    <xf borderId="1" fillId="4" fontId="5" numFmtId="0" xfId="0" applyAlignment="1" applyBorder="1" applyFont="1">
      <alignment shrinkToFit="0" vertical="top" wrapText="1"/>
    </xf>
    <xf borderId="3" fillId="0" fontId="5" numFmtId="0" xfId="0" applyAlignment="1" applyBorder="1" applyFont="1">
      <alignment shrinkToFit="0" vertical="top" wrapText="1"/>
    </xf>
    <xf borderId="4" fillId="7" fontId="12" numFmtId="0" xfId="0" applyAlignment="1" applyBorder="1" applyFont="1">
      <alignment shrinkToFit="0" vertical="top" wrapText="1"/>
    </xf>
    <xf borderId="0" fillId="0" fontId="5" numFmtId="0" xfId="0" applyAlignment="1" applyFont="1">
      <alignment shrinkToFit="0" vertical="top" wrapText="1"/>
    </xf>
  </cellXfs>
  <cellStyles count="1">
    <cellStyle xfId="0" name="Normal" builtinId="0"/>
  </cellStyles>
  <dxfs count="6">
    <dxf>
      <font/>
      <fill>
        <patternFill patternType="none"/>
      </fill>
      <border/>
    </dxf>
    <dxf>
      <font/>
      <fill>
        <patternFill patternType="solid">
          <fgColor rgb="FFF6F8F9"/>
          <bgColor rgb="FFF6F8F9"/>
        </patternFill>
      </fill>
      <border/>
    </dxf>
    <dxf>
      <font/>
      <fill>
        <patternFill patternType="solid">
          <fgColor rgb="FFFFFFFF"/>
          <bgColor rgb="FFFFFFFF"/>
        </patternFill>
      </fill>
      <border/>
    </dxf>
    <dxf>
      <font/>
      <fill>
        <patternFill patternType="solid">
          <fgColor rgb="FF356854"/>
          <bgColor rgb="FF356854"/>
        </patternFill>
      </fill>
      <border/>
    </dxf>
    <dxf>
      <border>
        <left style="thin">
          <color rgb="FF356854"/>
        </left>
        <right style="thin">
          <color rgb="FF356854"/>
        </right>
        <top style="thin">
          <color rgb="FF356854"/>
        </top>
        <bottom style="thin">
          <color rgb="FF356854"/>
        </bottom>
      </border>
    </dxf>
    <dxf>
      <font/>
      <fill>
        <patternFill patternType="solid">
          <fgColor rgb="FF4A568D"/>
          <bgColor rgb="FF4A568D"/>
        </patternFill>
      </fill>
      <border/>
    </dxf>
  </dxfs>
  <tableStyles count="3">
    <tableStyle count="2" pivot="0" name="Test Evaluation Result-style">
      <tableStyleElement dxfId="1" type="firstRowStripe"/>
      <tableStyleElement dxfId="2" type="secondRowStripe"/>
    </tableStyle>
    <tableStyle count="4" pivot="0" name="PetClinic-style">
      <tableStyleElement dxfId="3" type="headerRow"/>
      <tableStyleElement dxfId="2" type="firstRowStripe"/>
      <tableStyleElement dxfId="1" type="secondRowStripe"/>
      <tableStyleElement dxfId="4" size="0" type="wholeTable"/>
    </tableStyle>
    <tableStyle count="4" pivot="0" name="Kanboard-style">
      <tableStyleElement dxfId="5" type="headerRow"/>
      <tableStyleElement dxfId="2" type="firstRowStripe"/>
      <tableStyleElement dxfId="2"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36:B40" displayName="Table_1" name="Table_1" id="1">
  <tableColumns count="1">
    <tableColumn name="Column1" id="1"/>
  </tableColumns>
  <tableStyleInfo name="Test Evaluation Result-style" showColumnStripes="0" showFirstColumn="1" showLastColumn="1" showRowStripes="1"/>
</table>
</file>

<file path=xl/tables/table2.xml><?xml version="1.0" encoding="utf-8"?>
<table xmlns="http://schemas.openxmlformats.org/spreadsheetml/2006/main" ref="A1:L55" displayName="Spring_PetClinic" name="Spring_PetClinic" id="2">
  <tableColumns count="12">
    <tableColumn name="App" id="1"/>
    <tableColumn name="Test Class" id="2"/>
    <tableColumn name="Method" id="3"/>
    <tableColumn name="Treatment" id="4"/>
    <tableColumn name="Model" id="5"/>
    <tableColumn name="Gold Standard Assertion" id="6"/>
    <tableColumn name="Generated Assertion" id="7"/>
    <tableColumn name="Compiles" id="8"/>
    <tableColumn name="Pass/Fail" id="9"/>
    <tableColumn name="Fail Reason" id="10"/>
    <tableColumn name="Manual Classification" id="11"/>
    <tableColumn name="Manual Notes" id="12"/>
  </tableColumns>
  <tableStyleInfo name="PetClinic-style" showColumnStripes="0" showFirstColumn="1" showLastColumn="1" showRowStripes="1"/>
</table>
</file>

<file path=xl/tables/table3.xml><?xml version="1.0" encoding="utf-8"?>
<table xmlns="http://schemas.openxmlformats.org/spreadsheetml/2006/main" ref="A1:L94" displayName="Kanboard" name="Kanboard" id="3">
  <tableColumns count="12">
    <tableColumn name="App" id="1"/>
    <tableColumn name="Test Class" id="2"/>
    <tableColumn name="Method" id="3"/>
    <tableColumn name="Treatment" id="4"/>
    <tableColumn name="Model" id="5"/>
    <tableColumn name="Gold Standard Assertion" id="6"/>
    <tableColumn name="Generated Assertion" id="7"/>
    <tableColumn name="Compiles" id="8"/>
    <tableColumn name="Pass/Fail" id="9"/>
    <tableColumn name="Fail Reason" id="10"/>
    <tableColumn name="Manual Classification" id="11"/>
    <tableColumn name="Manual Notes" id="12"/>
  </tableColumns>
  <tableStyleInfo name="Kanboar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9.57"/>
    <col customWidth="1" min="2" max="2" width="20.0"/>
    <col customWidth="1" min="3" max="3" width="19.86"/>
    <col customWidth="1" min="4" max="4" width="19.43"/>
    <col customWidth="1" min="5" max="5" width="17.29"/>
    <col customWidth="1" min="6" max="6" width="17.71"/>
  </cols>
  <sheetData>
    <row r="1">
      <c r="A1" s="1" t="s">
        <v>0</v>
      </c>
    </row>
    <row r="3">
      <c r="A3" s="2" t="s">
        <v>1</v>
      </c>
    </row>
    <row r="4">
      <c r="A4" s="3" t="s">
        <v>2</v>
      </c>
      <c r="B4" s="3" t="s">
        <v>3</v>
      </c>
      <c r="C4" s="3" t="s">
        <v>4</v>
      </c>
      <c r="D4" s="3" t="s">
        <v>5</v>
      </c>
    </row>
    <row r="5">
      <c r="A5" s="4" t="s">
        <v>6</v>
      </c>
      <c r="B5" s="5" t="str">
        <f>COUNTIFS(PetClinic!$D:$D,$A5,PetClinic!$I:$I,"PASS")&amp;"/"&amp;COUNTIF(PetClinic!$D:$D,$A5)&amp;" ("&amp;TEXT(COUNTIFS(PetClinic!$D:$D,$A5,PetClinic!$I:$I,"PASS")/COUNTIF(PetClinic!$D:$D,$A5),"0.0%")&amp;")"</f>
        <v>17/18 (94.4%)</v>
      </c>
      <c r="C5" s="5" t="str">
        <f>COUNTIFS(PetClinic!$D:$D,$A5,PetClinic!$I:$I,"FAIL")&amp;"/"&amp;COUNTIF(PetClinic!$D:$D,$A5)&amp;" ("&amp;TEXT(COUNTIFS(PetClinic!$D:$D,$A5,PetClinic!$I:$I,"FAIL")/COUNTIF(PetClinic!$D:$D,$A5),"0.0%")&amp;")"</f>
        <v>1/18 (5.6%)</v>
      </c>
      <c r="D5" s="5" t="str">
        <f>COUNTIFS(PetClinic!$D:$D,$A5,PetClinic!$I:$I,"&lt;&gt;FAIL",PetClinic!$I:$I,"&lt;&gt;PASS")&amp;"/"&amp;COUNTIF(PetClinic!$D:$D,$A5)&amp;" ("&amp;TEXT(COUNTIFS(PetClinic!$D:$D,$A5,PetClinic!$I:$I,"&lt;&gt;FAIL",PetClinic!$I:$I,"&lt;&gt;PASS")/COUNTIF(PetClinic!$D:$D,$A5),"0.0%")&amp;")"</f>
        <v>0/18 (0.0%)</v>
      </c>
    </row>
    <row r="6">
      <c r="A6" s="6" t="s">
        <v>7</v>
      </c>
      <c r="B6" s="5" t="str">
        <f>COUNTIFS(PetClinic!$D:$D,$A6,PetClinic!$I:$I,"PASS")&amp;"/"&amp;COUNTIF(PetClinic!$D:$D,$A6)&amp;" ("&amp;TEXT(COUNTIFS(PetClinic!$D:$D,$A6,PetClinic!$I:$I,"PASS")/COUNTIF(PetClinic!$D:$D,$A6),"0.0%")&amp;")"</f>
        <v>10/18 (55.6%)</v>
      </c>
      <c r="C6" s="5" t="str">
        <f>COUNTIFS(PetClinic!$D:$D,$A6,PetClinic!$I:$I,"FAIL")&amp;"/"&amp;COUNTIF(PetClinic!$D:$D,$A6)&amp;" ("&amp;TEXT(COUNTIFS(PetClinic!$D:$D,$A6,PetClinic!$I:$I,"FAIL")/COUNTIF(PetClinic!$D:$D,$A6),"0.0%")&amp;")"</f>
        <v>1/18 (5.6%)</v>
      </c>
      <c r="D6" s="5" t="str">
        <f>COUNTIFS(PetClinic!$D:$D,$A6,PetClinic!$I:$I,"&lt;&gt;FAIL",PetClinic!$I:$I,"&lt;&gt;PASS")&amp;"/"&amp;COUNTIF(PetClinic!$D:$D,$A6)&amp;" ("&amp;TEXT(COUNTIFS(PetClinic!$D:$D,$A6,PetClinic!$I:$I,"&lt;&gt;FAIL",PetClinic!$I:$I,"&lt;&gt;PASS")/COUNTIF(PetClinic!$D:$D,$A6),"0.0%")&amp;")"</f>
        <v>7/18 (38.9%)</v>
      </c>
    </row>
    <row r="7">
      <c r="A7" s="6" t="s">
        <v>8</v>
      </c>
      <c r="B7" s="5" t="str">
        <f>COUNTIFS(PetClinic!$D:$D,$A7,PetClinic!$I:$I,"PASS")&amp;"/"&amp;COUNTIF(PetClinic!$D:$D,$A7)&amp;" ("&amp;TEXT(COUNTIFS(PetClinic!$D:$D,$A7,PetClinic!$I:$I,"PASS")/COUNTIF(PetClinic!$D:$D,$A7),"0.0%")&amp;")"</f>
        <v>17/18 (94.4%)</v>
      </c>
      <c r="C7" s="5" t="str">
        <f>COUNTIFS(PetClinic!$D:$D,$A7,PetClinic!$I:$I,"FAIL")&amp;"/"&amp;COUNTIF(PetClinic!$D:$D,$A7)&amp;" ("&amp;TEXT(COUNTIFS(PetClinic!$D:$D,$A7,PetClinic!$I:$I,"FAIL")/COUNTIF(PetClinic!$D:$D,$A7),"0.0%")&amp;")"</f>
        <v>1/18 (5.6%)</v>
      </c>
      <c r="D7" s="5" t="str">
        <f>COUNTIFS(PetClinic!$D:$D,$A7,PetClinic!$I:$I,"&lt;&gt;FAIL",PetClinic!$I:$I,"&lt;&gt;PASS")&amp;"/"&amp;COUNTIF(PetClinic!$D:$D,$A7)&amp;" ("&amp;TEXT(COUNTIFS(PetClinic!$D:$D,$A7,PetClinic!$I:$I,"&lt;&gt;FAIL",PetClinic!$I:$I,"&lt;&gt;PASS")/COUNTIF(PetClinic!$D:$D,$A7),"0.0%")&amp;")"</f>
        <v>0/18 (0.0%)</v>
      </c>
    </row>
    <row r="9">
      <c r="A9" s="2" t="s">
        <v>9</v>
      </c>
    </row>
    <row r="10">
      <c r="A10" s="3" t="s">
        <v>10</v>
      </c>
      <c r="B10" s="3" t="s">
        <v>11</v>
      </c>
      <c r="C10" s="3" t="s">
        <v>12</v>
      </c>
      <c r="D10" s="3" t="s">
        <v>13</v>
      </c>
      <c r="E10" s="3" t="s">
        <v>14</v>
      </c>
      <c r="F10" s="3" t="s">
        <v>15</v>
      </c>
    </row>
    <row r="11">
      <c r="A11" s="4" t="s">
        <v>6</v>
      </c>
      <c r="B11" s="5" t="str">
        <f>COUNTIFS(PetClinic!$D:$D,$A11,PetClinic!$K:$K,"correct")&amp;"/"&amp;COUNTIF(PetClinic!$D:$D,$A11)&amp;" ("&amp;TEXT(COUNTIFS(PetClinic!$D:$D,$A11,PetClinic!$K:$K,"correct")/COUNTIF(PetClinic!$D:$D,$A11),"0.0%")&amp;")"</f>
        <v>0/18 (0.0%)</v>
      </c>
      <c r="C11" s="5" t="str">
        <f>COUNTIFS(PetClinic!$D:$D,$A11,PetClinic!$K:$K,"over_assertive")&amp;"/"&amp;COUNTIF(PetClinic!$D:$D,$A11)&amp;" ("&amp;TEXT(COUNTIFS(PetClinic!$D:$D,$A11,PetClinic!$K:$K,"over_assertive")/COUNTIF(PetClinic!$D:$D,$A11),"0.0%")&amp;")"</f>
        <v>1/18 (5.6%)</v>
      </c>
      <c r="D11" s="5" t="str">
        <f>COUNTIFS(PetClinic!$D:$D,$A11,PetClinic!$K:$K,"under_assertive")&amp;"/"&amp;COUNTIF(PetClinic!$D:$D,$A11)&amp;" ("&amp;TEXT(COUNTIFS(PetClinic!$D:$D,$A11,PetClinic!$K:$K,"under_assertive")/COUNTIF(PetClinic!$D:$D,$A11),"0.0%")&amp;")"</f>
        <v>5/18 (27.8%)</v>
      </c>
      <c r="E11" s="5" t="str">
        <f>COUNTIFS(PetClinic!$D:$D,$A11,PetClinic!$K:$K,"wrong_assertion")&amp;"/"&amp;COUNTIF(PetClinic!$D:$D,$A11)&amp;" ("&amp;TEXT(COUNTIFS(PetClinic!$D:$D,$A11,PetClinic!$K:$K,"wrong_assertion")/COUNTIF(PetClinic!$D:$D,$A11),"0.0%")&amp;")"</f>
        <v>12/18 (66.7%)</v>
      </c>
      <c r="F11" s="5" t="str">
        <f>COUNTIFS(PetClinic!$D:$D,$A11,PetClinic!$K:$K,"not_executable")&amp;"/"&amp;COUNTIF(PetClinic!$D:$D,$A11)&amp;" ("&amp;TEXT(COUNTIFS(PetClinic!$D:$D,$A11,PetClinic!$K:$K,"not_executable")/COUNTIF(PetClinic!$D:$D,$A11),"0.0%")&amp;")"</f>
        <v>0/18 (0.0%)</v>
      </c>
    </row>
    <row r="12">
      <c r="A12" s="6" t="s">
        <v>7</v>
      </c>
      <c r="B12" s="5" t="str">
        <f>COUNTIFS(PetClinic!$D:$D,$A12,PetClinic!$K:$K,"correct")&amp;"/"&amp;COUNTIF(PetClinic!$D:$D,$A12)&amp;" ("&amp;TEXT(COUNTIFS(PetClinic!$D:$D,$A12,PetClinic!$K:$K,"correct")/COUNTIF(PetClinic!$D:$D,$A12),"0.0%")&amp;")"</f>
        <v>5/18 (27.8%)</v>
      </c>
      <c r="C12" s="5" t="str">
        <f>COUNTIFS(PetClinic!$D:$D,$A12,PetClinic!$K:$K,"over_assertive")&amp;"/"&amp;COUNTIF(PetClinic!$D:$D,$A12)&amp;" ("&amp;TEXT(COUNTIFS(PetClinic!$D:$D,$A12,PetClinic!$K:$K,"over_assertive")/COUNTIF(PetClinic!$D:$D,$A12),"0.0%")&amp;")"</f>
        <v>1/18 (5.6%)</v>
      </c>
      <c r="D12" s="5" t="str">
        <f>COUNTIFS(PetClinic!$D:$D,$A12,PetClinic!$K:$K,"under_assertive")&amp;"/"&amp;COUNTIF(PetClinic!$D:$D,$A12)&amp;" ("&amp;TEXT(COUNTIFS(PetClinic!$D:$D,$A12,PetClinic!$K:$K,"under_assertive")/COUNTIF(PetClinic!$D:$D,$A12),"0.0%")&amp;")"</f>
        <v>3/18 (16.7%)</v>
      </c>
      <c r="E12" s="5" t="str">
        <f>COUNTIFS(PetClinic!$D:$D,$A12,PetClinic!$K:$K,"wrong_assertion")&amp;"/"&amp;COUNTIF(PetClinic!$D:$D,$A12)&amp;" ("&amp;TEXT(COUNTIFS(PetClinic!$D:$D,$A12,PetClinic!$K:$K,"wrong_assertion")/COUNTIF(PetClinic!$D:$D,$A12),"0.0%")&amp;")"</f>
        <v>2/18 (11.1%)</v>
      </c>
      <c r="F12" s="5" t="str">
        <f>COUNTIFS(PetClinic!$D:$D,$A12,PetClinic!$K:$K,"not_executable")&amp;"/"&amp;COUNTIF(PetClinic!$D:$D,$A12)&amp;" ("&amp;TEXT(COUNTIFS(PetClinic!$D:$D,$A12,PetClinic!$K:$K,"not_executable")/COUNTIF(PetClinic!$D:$D,$A12),"0.0%")&amp;")"</f>
        <v>7/18 (38.9%)</v>
      </c>
    </row>
    <row r="13">
      <c r="A13" s="6" t="s">
        <v>8</v>
      </c>
      <c r="B13" s="5" t="str">
        <f>COUNTIFS(PetClinic!$D:$D,$A13,PetClinic!$K:$K,"correct")&amp;"/"&amp;COUNTIF(PetClinic!$D:$D,$A13)&amp;" ("&amp;TEXT(COUNTIFS(PetClinic!$D:$D,$A13,PetClinic!$K:$K,"correct")/COUNTIF(PetClinic!$D:$D,$A13),"0.0%")&amp;")"</f>
        <v>15/18 (83.3%)</v>
      </c>
      <c r="C13" s="5" t="str">
        <f>COUNTIFS(PetClinic!$D:$D,$A13,PetClinic!$K:$K,"over_assertive")&amp;"/"&amp;COUNTIF(PetClinic!$D:$D,$A13)&amp;" ("&amp;TEXT(COUNTIFS(PetClinic!$D:$D,$A13,PetClinic!$K:$K,"over_assertive")/COUNTIF(PetClinic!$D:$D,$A13),"0.0%")&amp;")"</f>
        <v>2/18 (11.1%)</v>
      </c>
      <c r="D13" s="5" t="str">
        <f>COUNTIFS(PetClinic!$D:$D,$A13,PetClinic!$K:$K,"under_assertive")&amp;"/"&amp;COUNTIF(PetClinic!$D:$D,$A13)&amp;" ("&amp;TEXT(COUNTIFS(PetClinic!$D:$D,$A13,PetClinic!$K:$K,"under_assertive")/COUNTIF(PetClinic!$D:$D,$A13),"0.0%")&amp;")"</f>
        <v>0/18 (0.0%)</v>
      </c>
      <c r="E13" s="5" t="str">
        <f>COUNTIFS(PetClinic!$D:$D,$A13,PetClinic!$K:$K,"wrong_assertion")&amp;"/"&amp;COUNTIF(PetClinic!$D:$D,$A13)&amp;" ("&amp;TEXT(COUNTIFS(PetClinic!$D:$D,$A13,PetClinic!$K:$K,"wrong_assertion")/COUNTIF(PetClinic!$D:$D,$A13),"0.0%")&amp;")"</f>
        <v>0/18 (0.0%)</v>
      </c>
      <c r="F13" s="5" t="str">
        <f>COUNTIFS(PetClinic!$D:$D,$A13,PetClinic!$K:$K,"not_executable")&amp;"/"&amp;COUNTIF(PetClinic!$D:$D,$A13)&amp;" ("&amp;TEXT(COUNTIFS(PetClinic!$D:$D,$A13,PetClinic!$K:$K,"not_executable")/COUNTIF(PetClinic!$D:$D,$A13),"0.0%")&amp;")"</f>
        <v>1/18 (5.6%)</v>
      </c>
    </row>
    <row r="17">
      <c r="A17" s="1" t="s">
        <v>16</v>
      </c>
    </row>
    <row r="19">
      <c r="A19" s="2" t="s">
        <v>1</v>
      </c>
    </row>
    <row r="20">
      <c r="A20" s="3" t="s">
        <v>17</v>
      </c>
      <c r="B20" s="3" t="s">
        <v>3</v>
      </c>
      <c r="C20" s="3" t="s">
        <v>4</v>
      </c>
      <c r="D20" s="3" t="s">
        <v>5</v>
      </c>
    </row>
    <row r="21">
      <c r="A21" s="4" t="s">
        <v>6</v>
      </c>
      <c r="B21" s="5" t="str">
        <f>COUNTIFS(Kanboard!$D:$D,$A21,Kanboard!$I:$I,"PASS")&amp;"/"&amp;COUNTIF(Kanboard!$D:$D,$A21)&amp;" ("&amp;TEXT(COUNTIFS(Kanboard!$D:$D,$A21,Kanboard!$I:$I,"PASS")/COUNTIF(Kanboard!$D:$D,$A21),"0.0%")&amp;")"</f>
        <v>18/33 (54.5%)</v>
      </c>
      <c r="C21" s="5" t="str">
        <f>COUNTIFS(Kanboard!$D:$D,$A21,Kanboard!$I:$I,"FAIL")&amp;"/"&amp;COUNTIF(Kanboard!$D:$D,$A21)&amp;" ("&amp;TEXT(COUNTIFS(Kanboard!$D:$D,$A21,Kanboard!$I:$I,"FAIL")/COUNTIF(Kanboard!$D:$D,$A21),"0.0%")&amp;")"</f>
        <v>11/33 (33.3%)</v>
      </c>
      <c r="D21" s="5" t="str">
        <f>COUNTIFS(Kanboard!$D:$D,$A21,Kanboard!$I:$I,"&lt;&gt;FAIL",Kanboard!$I:$I,"&lt;&gt;PASS")&amp;"/"&amp;COUNTIF(Kanboard!$D:$D,$A21)&amp;" ("&amp;TEXT(COUNTIFS(Kanboard!$D:$D,$A21,Kanboard!$I:$I,"&lt;&gt;FAIL",Kanboard!$I:$I,"&lt;&gt;PASS")/COUNTIF(Kanboard!$D:$D,$A21),"0.0%")&amp;")"</f>
        <v>4/33 (12.1%)</v>
      </c>
    </row>
    <row r="22">
      <c r="A22" s="6" t="s">
        <v>7</v>
      </c>
      <c r="B22" s="5" t="str">
        <f>COUNTIFS(Kanboard!$D:$D,$A22,Kanboard!$I:$I,"PASS")&amp;"/"&amp;COUNTIF(Kanboard!$D:$D,$A22)&amp;" ("&amp;TEXT(COUNTIFS(Kanboard!$D:$D,$A22,Kanboard!$I:$I,"PASS")/COUNTIF(Kanboard!$D:$D,$A22),"0.0%")&amp;")"</f>
        <v>27/30 (90.0%)</v>
      </c>
      <c r="C22" s="5" t="str">
        <f>COUNTIFS(Kanboard!$D:$D,$A22,Kanboard!$I:$I,"FAIL")&amp;"/"&amp;COUNTIF(Kanboard!$D:$D,$A22)&amp;" ("&amp;TEXT(COUNTIFS(Kanboard!$D:$D,$A22,Kanboard!$I:$I,"FAIL")/COUNTIF(Kanboard!$D:$D,$A22),"0.0%")&amp;")"</f>
        <v>2/30 (6.7%)</v>
      </c>
      <c r="D22" s="5" t="str">
        <f>COUNTIFS(Kanboard!$D:$D,$A22,Kanboard!$I:$I,"&lt;&gt;FAIL",Kanboard!$I:$I,"&lt;&gt;PASS")&amp;"/"&amp;COUNTIF(Kanboard!$D:$D,$A22)&amp;" ("&amp;TEXT(COUNTIFS(Kanboard!$D:$D,$A22,Kanboard!$I:$I,"&lt;&gt;FAIL",Kanboard!$I:$I,"&lt;&gt;PASS")/COUNTIF(Kanboard!$D:$D,$A22),"0.0%")&amp;")"</f>
        <v>1/30 (3.3%)</v>
      </c>
    </row>
    <row r="23">
      <c r="A23" s="7" t="s">
        <v>18</v>
      </c>
      <c r="B23" s="5" t="str">
        <f>COUNTIFS(Kanboard!$D:$D,$A23,Kanboard!$I:$I,"PASS")&amp;"/"&amp;COUNTIF(Kanboard!$D:$D,$A23)&amp;" ("&amp;TEXT(COUNTIFS(Kanboard!$D:$D,$A23,Kanboard!$I:$I,"PASS")/COUNTIF(Kanboard!$D:$D,$A23),"0.0%")&amp;")"</f>
        <v>27/30 (90.0%)</v>
      </c>
      <c r="C23" s="5" t="str">
        <f>COUNTIFS(Kanboard!$D:$D,$A23,Kanboard!$I:$I,"FAIL")&amp;"/"&amp;COUNTIF(Kanboard!$D:$D,$A23)&amp;" ("&amp;TEXT(COUNTIFS(Kanboard!$D:$D,$A23,Kanboard!$I:$I,"FAIL")/COUNTIF(Kanboard!$D:$D,$A23),"0.0%")&amp;")"</f>
        <v>2/30 (6.7%)</v>
      </c>
      <c r="D23" s="5" t="str">
        <f>COUNTIFS(Kanboard!$D:$D,$A23,Kanboard!$I:$I,"&lt;&gt;FAIL",Kanboard!$I:$I,"&lt;&gt;PASS")&amp;"/"&amp;COUNTIF(Kanboard!$D:$D,$A23)&amp;" ("&amp;TEXT(COUNTIFS(Kanboard!$D:$D,$A23,Kanboard!$I:$I,"&lt;&gt;FAIL",Kanboard!$I:$I,"&lt;&gt;PASS")/COUNTIF(Kanboard!$D:$D,$A23),"0.0%")&amp;")"</f>
        <v>1/30 (3.3%)</v>
      </c>
    </row>
    <row r="25">
      <c r="A25" s="2" t="s">
        <v>9</v>
      </c>
    </row>
    <row r="26">
      <c r="A26" s="3" t="s">
        <v>17</v>
      </c>
      <c r="B26" s="3" t="s">
        <v>11</v>
      </c>
      <c r="C26" s="3" t="s">
        <v>12</v>
      </c>
      <c r="D26" s="3" t="s">
        <v>13</v>
      </c>
      <c r="E26" s="3" t="s">
        <v>14</v>
      </c>
      <c r="F26" s="3" t="s">
        <v>15</v>
      </c>
    </row>
    <row r="27">
      <c r="A27" s="4" t="s">
        <v>6</v>
      </c>
      <c r="B27" s="5" t="str">
        <f>COUNTIFS(Kanboard!$D:$D,$A27,Kanboard!$K:$K,"correct")&amp;"/"&amp;COUNTIF(Kanboard!$D:$D,$A27)&amp;" ("&amp;TEXT(COUNTIFS(Kanboard!$D:$D,$A27,Kanboard!$K:$K,"correct")/COUNTIF(Kanboard!$D:$D,$A27),"0.0%")&amp;")"</f>
        <v>9/33 (27.3%)</v>
      </c>
      <c r="C27" s="5" t="str">
        <f>COUNTIFS(Kanboard!$D:$D,$A27,Kanboard!$K:$K,"over_assertive")&amp;"/"&amp;COUNTIF(Kanboard!$D:$D,$A27)&amp;" ("&amp;TEXT(COUNTIFS(Kanboard!$D:$D,$A27,Kanboard!$K:$K,"over_assertive")/COUNTIF(Kanboard!$D:$D,$A27),"0.0%")&amp;")"</f>
        <v>3/33 (9.1%)</v>
      </c>
      <c r="D27" s="5" t="str">
        <f>COUNTIFS(Kanboard!$D:$D,$A27,Kanboard!$K:$K,"under_assertive")&amp;"/"&amp;COUNTIF(Kanboard!$D:$D,$A27)&amp;" ("&amp;TEXT(COUNTIFS(Kanboard!$D:$D,$A27,Kanboard!$K:$K,"under_assertive")/COUNTIF(Kanboard!$D:$D,$A27),"0.0%")&amp;")"</f>
        <v>6/33 (18.2%)</v>
      </c>
      <c r="E27" s="5" t="str">
        <f>COUNTIFS(Kanboard!$D:$D,$A27,Kanboard!$K:$K,"wrong_assertion")&amp;"/"&amp;COUNTIF(Kanboard!$D:$D,$A27)&amp;" ("&amp;TEXT(COUNTIFS(Kanboard!$D:$D,$A27,Kanboard!$K:$K,"wrong_assertion")/COUNTIF(Kanboard!$D:$D,$A27),"0.0%")&amp;")"</f>
        <v>12/33 (36.4%)</v>
      </c>
      <c r="F27" s="5" t="str">
        <f>COUNTIFS(Kanboard!$D:$D,$A27,Kanboard!$K:$K,"not_executable")&amp;"/"&amp;COUNTIF(Kanboard!$D:$D,$A27)&amp;" ("&amp;TEXT(COUNTIFS(Kanboard!$D:$D,$A27,Kanboard!$K:$K,"not_executable")/COUNTIF(Kanboard!$D:$D,$A27),"0.0%")&amp;")"</f>
        <v>3/33 (9.1%)</v>
      </c>
    </row>
    <row r="28">
      <c r="A28" s="6" t="s">
        <v>7</v>
      </c>
      <c r="B28" s="5" t="str">
        <f>COUNTIFS(Kanboard!$D:$D,$A28,Kanboard!$K:$K,"correct")&amp;"/"&amp;COUNTIF(Kanboard!$D:$D,$A28)&amp;" ("&amp;TEXT(COUNTIFS(Kanboard!$D:$D,$A28,Kanboard!$K:$K,"correct")/COUNTIF(Kanboard!$D:$D,$A28),"0.0%")&amp;")"</f>
        <v>27/30 (90.0%)</v>
      </c>
      <c r="C28" s="5" t="str">
        <f>COUNTIFS(Kanboard!$D:$D,$A28,Kanboard!$K:$K,"over_assertive")&amp;"/"&amp;COUNTIF(Kanboard!$D:$D,$A28)&amp;" ("&amp;TEXT(COUNTIFS(Kanboard!$D:$D,$A28,Kanboard!$K:$K,"over_assertive")/COUNTIF(Kanboard!$D:$D,$A28),"0.0%")&amp;")"</f>
        <v>0/30 (0.0%)</v>
      </c>
      <c r="D28" s="5" t="str">
        <f>COUNTIFS(Kanboard!$D:$D,$A28,Kanboard!$K:$K,"under_assertive")&amp;"/"&amp;COUNTIF(Kanboard!$D:$D,$A28)&amp;" ("&amp;TEXT(COUNTIFS(Kanboard!$D:$D,$A28,Kanboard!$K:$K,"under_assertive")/COUNTIF(Kanboard!$D:$D,$A28),"0.0%")&amp;")"</f>
        <v>0/30 (0.0%)</v>
      </c>
      <c r="E28" s="5" t="str">
        <f>COUNTIFS(Kanboard!$D:$D,$A28,Kanboard!$K:$K,"wrong_assertion")&amp;"/"&amp;COUNTIF(Kanboard!$D:$D,$A28)&amp;" ("&amp;TEXT(COUNTIFS(Kanboard!$D:$D,$A28,Kanboard!$K:$K,"wrong_assertion")/COUNTIF(Kanboard!$D:$D,$A28),"0.0%")&amp;")"</f>
        <v>3/30 (10.0%)</v>
      </c>
      <c r="F28" s="5" t="str">
        <f>COUNTIFS(Kanboard!$D:$D,$A28,Kanboard!$K:$K,"not_executable")&amp;"/"&amp;COUNTIF(Kanboard!$D:$D,$A28)&amp;" ("&amp;TEXT(COUNTIFS(Kanboard!$D:$D,$A28,Kanboard!$K:$K,"not_executable")/COUNTIF(Kanboard!$D:$D,$A28),"0.0%")&amp;")"</f>
        <v>0/30 (0.0%)</v>
      </c>
    </row>
    <row r="29">
      <c r="A29" s="7" t="s">
        <v>18</v>
      </c>
      <c r="B29" s="5" t="str">
        <f>COUNTIFS(Kanboard!$D:$D,$A29,Kanboard!$K:$K,"correct")&amp;"/"&amp;COUNTIF(Kanboard!$D:$D,$A29)&amp;" ("&amp;TEXT(COUNTIFS(Kanboard!$D:$D,$A29,Kanboard!$K:$K,"correct")/COUNTIF(Kanboard!$D:$D,$A29),"0.0%")&amp;")"</f>
        <v>24/30 (80.0%)</v>
      </c>
      <c r="C29" s="5" t="str">
        <f>COUNTIFS(Kanboard!$D:$D,$A29,Kanboard!$K:$K,"over_assertive")&amp;"/"&amp;COUNTIF(Kanboard!$D:$D,$A29)&amp;" ("&amp;TEXT(COUNTIFS(Kanboard!$D:$D,$A29,Kanboard!$K:$K,"over_assertive")/COUNTIF(Kanboard!$D:$D,$A29),"0.0%")&amp;")"</f>
        <v>1/30 (3.3%)</v>
      </c>
      <c r="D29" s="5" t="str">
        <f>COUNTIFS(Kanboard!$D:$D,$A29,Kanboard!$K:$K,"under_assertive")&amp;"/"&amp;COUNTIF(Kanboard!$D:$D,$A29)&amp;" ("&amp;TEXT(COUNTIFS(Kanboard!$D:$D,$A29,Kanboard!$K:$K,"under_assertive")/COUNTIF(Kanboard!$D:$D,$A29),"0.0%")&amp;")"</f>
        <v>0/30 (0.0%)</v>
      </c>
      <c r="E29" s="5" t="str">
        <f>COUNTIFS(Kanboard!$D:$D,$A29,Kanboard!$K:$K,"wrong_assertion")&amp;"/"&amp;COUNTIF(Kanboard!$D:$D,$A29)&amp;" ("&amp;TEXT(COUNTIFS(Kanboard!$D:$D,$A29,Kanboard!$K:$K,"wrong_assertion")/COUNTIF(Kanboard!$D:$D,$A29),"0.0%")&amp;")"</f>
        <v>5/30 (16.7%)</v>
      </c>
      <c r="F29" s="5" t="str">
        <f>COUNTIFS(Kanboard!$D:$D,$A29,Kanboard!$K:$K,"not_executable")&amp;"/"&amp;COUNTIF(Kanboard!$D:$D,$A29)&amp;" ("&amp;TEXT(COUNTIFS(Kanboard!$D:$D,$A29,Kanboard!$K:$K,"not_executable")/COUNTIF(Kanboard!$D:$D,$A29),"0.0%")&amp;")"</f>
        <v>0/30 (0.0%)</v>
      </c>
    </row>
  </sheetData>
  <mergeCells count="6">
    <mergeCell ref="A1:D2"/>
    <mergeCell ref="A3:D3"/>
    <mergeCell ref="A9:F9"/>
    <mergeCell ref="A17:D18"/>
    <mergeCell ref="A19:D19"/>
    <mergeCell ref="A25:F25"/>
  </mergeCell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57"/>
    <col customWidth="1" min="2" max="2" width="42.86"/>
    <col customWidth="1" min="3" max="3" width="35.0"/>
    <col customWidth="1" min="4" max="4" width="31.29"/>
    <col customWidth="1" min="5" max="5" width="15.71"/>
    <col customWidth="1" min="6" max="7" width="50.0"/>
    <col customWidth="1" min="8" max="8" width="16.14"/>
    <col customWidth="1" min="9" max="9" width="13.86"/>
    <col customWidth="1" min="10" max="10" width="40.0"/>
    <col customWidth="1" min="11" max="11" width="22.0"/>
    <col customWidth="1" min="12" max="12" width="30.0"/>
    <col customWidth="1" min="13" max="26" width="8.71"/>
  </cols>
  <sheetData>
    <row r="1" ht="22.5" customHeight="1">
      <c r="A1" s="8" t="s">
        <v>19</v>
      </c>
      <c r="B1" s="8" t="s">
        <v>20</v>
      </c>
      <c r="C1" s="8" t="s">
        <v>21</v>
      </c>
      <c r="D1" s="8" t="s">
        <v>22</v>
      </c>
      <c r="E1" s="8" t="s">
        <v>23</v>
      </c>
      <c r="F1" s="8" t="s">
        <v>24</v>
      </c>
      <c r="G1" s="8" t="s">
        <v>25</v>
      </c>
      <c r="H1" s="8" t="s">
        <v>26</v>
      </c>
      <c r="I1" s="8" t="s">
        <v>27</v>
      </c>
      <c r="J1" s="8" t="s">
        <v>28</v>
      </c>
      <c r="K1" s="8" t="s">
        <v>29</v>
      </c>
      <c r="L1" s="8" t="s">
        <v>30</v>
      </c>
    </row>
    <row r="2" ht="30.0" customHeight="1">
      <c r="A2" s="9" t="s">
        <v>31</v>
      </c>
      <c r="B2" s="9" t="s">
        <v>32</v>
      </c>
      <c r="C2" s="9" t="s">
        <v>33</v>
      </c>
      <c r="D2" s="9" t="s">
        <v>6</v>
      </c>
      <c r="E2" s="10" t="s">
        <v>34</v>
      </c>
      <c r="F2" s="9" t="s">
        <v>35</v>
      </c>
      <c r="G2" s="9" t="s">
        <v>36</v>
      </c>
      <c r="H2" s="11" t="b">
        <v>1</v>
      </c>
      <c r="I2" s="12" t="s">
        <v>37</v>
      </c>
      <c r="J2" s="13"/>
      <c r="K2" s="6" t="s">
        <v>38</v>
      </c>
      <c r="L2" s="13" t="s">
        <v>39</v>
      </c>
    </row>
    <row r="3" ht="30.0" customHeight="1">
      <c r="A3" s="9" t="s">
        <v>31</v>
      </c>
      <c r="B3" s="9" t="s">
        <v>32</v>
      </c>
      <c r="C3" s="9" t="s">
        <v>33</v>
      </c>
      <c r="D3" s="9" t="s">
        <v>7</v>
      </c>
      <c r="E3" s="10" t="s">
        <v>34</v>
      </c>
      <c r="F3" s="9" t="s">
        <v>35</v>
      </c>
      <c r="G3" s="14" t="s">
        <v>40</v>
      </c>
      <c r="H3" s="7" t="b">
        <v>1</v>
      </c>
      <c r="I3" s="15" t="s">
        <v>37</v>
      </c>
      <c r="J3" s="13"/>
      <c r="K3" s="7" t="s">
        <v>41</v>
      </c>
      <c r="L3" s="16" t="s">
        <v>42</v>
      </c>
    </row>
    <row r="4" ht="30.0" customHeight="1">
      <c r="A4" s="9" t="s">
        <v>31</v>
      </c>
      <c r="B4" s="9" t="s">
        <v>32</v>
      </c>
      <c r="C4" s="9" t="s">
        <v>33</v>
      </c>
      <c r="D4" s="9" t="s">
        <v>8</v>
      </c>
      <c r="E4" s="10" t="s">
        <v>34</v>
      </c>
      <c r="F4" s="9" t="s">
        <v>35</v>
      </c>
      <c r="G4" s="9" t="s">
        <v>40</v>
      </c>
      <c r="H4" s="6" t="b">
        <v>1</v>
      </c>
      <c r="I4" s="12" t="s">
        <v>37</v>
      </c>
      <c r="J4" s="13"/>
      <c r="K4" s="6" t="s">
        <v>43</v>
      </c>
      <c r="L4" s="13" t="s">
        <v>44</v>
      </c>
    </row>
    <row r="5" ht="30.0" customHeight="1">
      <c r="A5" s="9" t="s">
        <v>31</v>
      </c>
      <c r="B5" s="9" t="s">
        <v>45</v>
      </c>
      <c r="C5" s="9" t="s">
        <v>46</v>
      </c>
      <c r="D5" s="9" t="s">
        <v>6</v>
      </c>
      <c r="E5" s="10" t="s">
        <v>34</v>
      </c>
      <c r="F5" s="9" t="s">
        <v>47</v>
      </c>
      <c r="G5" s="9" t="s">
        <v>36</v>
      </c>
      <c r="H5" s="6" t="b">
        <v>1</v>
      </c>
      <c r="I5" s="12" t="s">
        <v>37</v>
      </c>
      <c r="J5" s="13"/>
      <c r="K5" s="6" t="s">
        <v>38</v>
      </c>
      <c r="L5" s="13" t="s">
        <v>39</v>
      </c>
    </row>
    <row r="6" ht="30.0" customHeight="1">
      <c r="A6" s="9" t="s">
        <v>31</v>
      </c>
      <c r="B6" s="9" t="s">
        <v>45</v>
      </c>
      <c r="C6" s="9" t="s">
        <v>46</v>
      </c>
      <c r="D6" s="9" t="s">
        <v>7</v>
      </c>
      <c r="E6" s="10" t="s">
        <v>34</v>
      </c>
      <c r="F6" s="9" t="s">
        <v>47</v>
      </c>
      <c r="G6" s="17" t="s">
        <v>40</v>
      </c>
      <c r="H6" s="7" t="b">
        <v>1</v>
      </c>
      <c r="I6" s="15" t="s">
        <v>37</v>
      </c>
      <c r="J6" s="13"/>
      <c r="K6" s="7" t="s">
        <v>41</v>
      </c>
      <c r="L6" s="16" t="s">
        <v>48</v>
      </c>
    </row>
    <row r="7" ht="30.0" customHeight="1">
      <c r="A7" s="18" t="s">
        <v>31</v>
      </c>
      <c r="B7" s="18" t="s">
        <v>45</v>
      </c>
      <c r="C7" s="18" t="s">
        <v>46</v>
      </c>
      <c r="D7" s="18" t="s">
        <v>8</v>
      </c>
      <c r="E7" s="19" t="s">
        <v>34</v>
      </c>
      <c r="F7" s="18" t="s">
        <v>47</v>
      </c>
      <c r="G7" s="18" t="s">
        <v>40</v>
      </c>
      <c r="H7" s="20" t="b">
        <v>1</v>
      </c>
      <c r="I7" s="12" t="s">
        <v>37</v>
      </c>
      <c r="J7" s="21"/>
      <c r="K7" s="20" t="s">
        <v>43</v>
      </c>
      <c r="L7" s="21" t="s">
        <v>49</v>
      </c>
    </row>
    <row r="8" ht="30.0" customHeight="1">
      <c r="A8" s="9" t="s">
        <v>31</v>
      </c>
      <c r="B8" s="9" t="s">
        <v>50</v>
      </c>
      <c r="C8" s="9" t="s">
        <v>51</v>
      </c>
      <c r="D8" s="9" t="s">
        <v>6</v>
      </c>
      <c r="E8" s="22" t="s">
        <v>34</v>
      </c>
      <c r="F8" s="9" t="s">
        <v>52</v>
      </c>
      <c r="G8" s="9" t="s">
        <v>36</v>
      </c>
      <c r="H8" s="6" t="b">
        <v>1</v>
      </c>
      <c r="I8" s="12" t="s">
        <v>37</v>
      </c>
      <c r="J8" s="13"/>
      <c r="K8" s="6" t="s">
        <v>38</v>
      </c>
      <c r="L8" s="13" t="s">
        <v>39</v>
      </c>
    </row>
    <row r="9" ht="30.0" customHeight="1">
      <c r="A9" s="18" t="s">
        <v>31</v>
      </c>
      <c r="B9" s="18" t="s">
        <v>50</v>
      </c>
      <c r="C9" s="18" t="s">
        <v>51</v>
      </c>
      <c r="D9" s="18" t="s">
        <v>7</v>
      </c>
      <c r="E9" s="19" t="s">
        <v>34</v>
      </c>
      <c r="F9" s="18" t="s">
        <v>52</v>
      </c>
      <c r="G9" s="23" t="s">
        <v>53</v>
      </c>
      <c r="H9" s="24" t="b">
        <v>1</v>
      </c>
      <c r="I9" s="25" t="s">
        <v>54</v>
      </c>
      <c r="J9" s="26" t="s">
        <v>55</v>
      </c>
      <c r="K9" s="24" t="s">
        <v>56</v>
      </c>
      <c r="L9" s="26" t="s">
        <v>57</v>
      </c>
    </row>
    <row r="10" ht="30.0" customHeight="1">
      <c r="A10" s="9" t="s">
        <v>31</v>
      </c>
      <c r="B10" s="9" t="s">
        <v>50</v>
      </c>
      <c r="C10" s="9" t="s">
        <v>51</v>
      </c>
      <c r="D10" s="9" t="s">
        <v>8</v>
      </c>
      <c r="E10" s="22" t="s">
        <v>34</v>
      </c>
      <c r="F10" s="9" t="s">
        <v>52</v>
      </c>
      <c r="G10" s="9" t="s">
        <v>40</v>
      </c>
      <c r="H10" s="6" t="b">
        <v>1</v>
      </c>
      <c r="I10" s="12" t="s">
        <v>37</v>
      </c>
      <c r="J10" s="13"/>
      <c r="K10" s="6" t="s">
        <v>43</v>
      </c>
      <c r="L10" s="13" t="s">
        <v>58</v>
      </c>
    </row>
    <row r="11" ht="30.0" customHeight="1">
      <c r="A11" s="18" t="s">
        <v>31</v>
      </c>
      <c r="B11" s="18" t="s">
        <v>59</v>
      </c>
      <c r="C11" s="18" t="s">
        <v>60</v>
      </c>
      <c r="D11" s="18" t="s">
        <v>6</v>
      </c>
      <c r="E11" s="19" t="s">
        <v>34</v>
      </c>
      <c r="F11" s="18" t="s">
        <v>61</v>
      </c>
      <c r="G11" s="18" t="s">
        <v>36</v>
      </c>
      <c r="H11" s="20" t="b">
        <v>1</v>
      </c>
      <c r="I11" s="12" t="s">
        <v>37</v>
      </c>
      <c r="J11" s="21"/>
      <c r="K11" s="20" t="s">
        <v>38</v>
      </c>
      <c r="L11" s="13" t="s">
        <v>39</v>
      </c>
    </row>
    <row r="12" ht="30.0" customHeight="1">
      <c r="A12" s="9" t="s">
        <v>31</v>
      </c>
      <c r="B12" s="9" t="s">
        <v>59</v>
      </c>
      <c r="C12" s="9" t="s">
        <v>60</v>
      </c>
      <c r="D12" s="9" t="s">
        <v>7</v>
      </c>
      <c r="E12" s="22" t="s">
        <v>34</v>
      </c>
      <c r="F12" s="9" t="s">
        <v>61</v>
      </c>
      <c r="G12" s="14" t="s">
        <v>62</v>
      </c>
      <c r="H12" s="7" t="b">
        <v>1</v>
      </c>
      <c r="I12" s="15" t="s">
        <v>54</v>
      </c>
      <c r="J12" s="16" t="s">
        <v>63</v>
      </c>
      <c r="K12" s="7" t="s">
        <v>56</v>
      </c>
      <c r="L12" s="26" t="s">
        <v>57</v>
      </c>
    </row>
    <row r="13" ht="30.0" customHeight="1">
      <c r="A13" s="9" t="s">
        <v>31</v>
      </c>
      <c r="B13" s="9" t="s">
        <v>59</v>
      </c>
      <c r="C13" s="9" t="s">
        <v>60</v>
      </c>
      <c r="D13" s="9" t="s">
        <v>8</v>
      </c>
      <c r="E13" s="22" t="s">
        <v>34</v>
      </c>
      <c r="F13" s="9" t="s">
        <v>61</v>
      </c>
      <c r="G13" s="9" t="s">
        <v>40</v>
      </c>
      <c r="H13" s="6" t="b">
        <v>1</v>
      </c>
      <c r="I13" s="12" t="s">
        <v>37</v>
      </c>
      <c r="J13" s="13"/>
      <c r="K13" s="6" t="s">
        <v>43</v>
      </c>
      <c r="L13" s="13" t="s">
        <v>64</v>
      </c>
    </row>
    <row r="14" ht="30.0" customHeight="1">
      <c r="A14" s="9" t="s">
        <v>31</v>
      </c>
      <c r="B14" s="9" t="s">
        <v>65</v>
      </c>
      <c r="C14" s="9" t="s">
        <v>66</v>
      </c>
      <c r="D14" s="9" t="s">
        <v>6</v>
      </c>
      <c r="E14" s="22" t="s">
        <v>34</v>
      </c>
      <c r="F14" s="9" t="s">
        <v>67</v>
      </c>
      <c r="G14" s="9" t="s">
        <v>36</v>
      </c>
      <c r="H14" s="6" t="b">
        <v>1</v>
      </c>
      <c r="I14" s="12" t="s">
        <v>37</v>
      </c>
      <c r="J14" s="13"/>
      <c r="K14" s="6" t="s">
        <v>38</v>
      </c>
      <c r="L14" s="13" t="s">
        <v>39</v>
      </c>
    </row>
    <row r="15" ht="30.0" customHeight="1">
      <c r="A15" s="9" t="s">
        <v>31</v>
      </c>
      <c r="B15" s="9" t="s">
        <v>65</v>
      </c>
      <c r="C15" s="9" t="s">
        <v>66</v>
      </c>
      <c r="D15" s="9" t="s">
        <v>7</v>
      </c>
      <c r="E15" s="22" t="s">
        <v>34</v>
      </c>
      <c r="F15" s="9" t="s">
        <v>67</v>
      </c>
      <c r="G15" s="14" t="s">
        <v>68</v>
      </c>
      <c r="H15" s="7" t="b">
        <v>1</v>
      </c>
      <c r="I15" s="15" t="s">
        <v>37</v>
      </c>
      <c r="J15" s="13"/>
      <c r="K15" s="7" t="s">
        <v>38</v>
      </c>
      <c r="L15" s="16" t="s">
        <v>69</v>
      </c>
    </row>
    <row r="16" ht="30.0" customHeight="1">
      <c r="A16" s="9" t="s">
        <v>31</v>
      </c>
      <c r="B16" s="9" t="s">
        <v>65</v>
      </c>
      <c r="C16" s="9" t="s">
        <v>66</v>
      </c>
      <c r="D16" s="9" t="s">
        <v>8</v>
      </c>
      <c r="E16" s="22" t="s">
        <v>34</v>
      </c>
      <c r="F16" s="9" t="s">
        <v>67</v>
      </c>
      <c r="G16" s="9" t="s">
        <v>70</v>
      </c>
      <c r="H16" s="6" t="b">
        <v>1</v>
      </c>
      <c r="I16" s="12" t="s">
        <v>37</v>
      </c>
      <c r="J16" s="13"/>
      <c r="K16" s="6" t="s">
        <v>43</v>
      </c>
      <c r="L16" s="13" t="s">
        <v>71</v>
      </c>
    </row>
    <row r="17" ht="30.0" customHeight="1">
      <c r="A17" s="9" t="s">
        <v>31</v>
      </c>
      <c r="B17" s="9" t="s">
        <v>72</v>
      </c>
      <c r="C17" s="9" t="s">
        <v>73</v>
      </c>
      <c r="D17" s="9" t="s">
        <v>6</v>
      </c>
      <c r="E17" s="22" t="s">
        <v>34</v>
      </c>
      <c r="F17" s="9" t="s">
        <v>74</v>
      </c>
      <c r="G17" s="9" t="s">
        <v>36</v>
      </c>
      <c r="H17" s="6" t="b">
        <v>1</v>
      </c>
      <c r="I17" s="12" t="s">
        <v>37</v>
      </c>
      <c r="J17" s="13"/>
      <c r="K17" s="6" t="s">
        <v>38</v>
      </c>
      <c r="L17" s="13" t="s">
        <v>39</v>
      </c>
    </row>
    <row r="18" ht="30.0" customHeight="1">
      <c r="A18" s="9" t="s">
        <v>31</v>
      </c>
      <c r="B18" s="9" t="s">
        <v>72</v>
      </c>
      <c r="C18" s="9" t="s">
        <v>73</v>
      </c>
      <c r="D18" s="9" t="s">
        <v>7</v>
      </c>
      <c r="E18" s="22" t="s">
        <v>34</v>
      </c>
      <c r="F18" s="9" t="s">
        <v>74</v>
      </c>
      <c r="G18" s="14" t="s">
        <v>75</v>
      </c>
      <c r="H18" s="7" t="b">
        <v>1</v>
      </c>
      <c r="I18" s="15" t="s">
        <v>37</v>
      </c>
      <c r="J18" s="13"/>
      <c r="K18" s="7" t="s">
        <v>43</v>
      </c>
      <c r="L18" s="16" t="s">
        <v>76</v>
      </c>
    </row>
    <row r="19" ht="30.0" customHeight="1">
      <c r="A19" s="9" t="s">
        <v>31</v>
      </c>
      <c r="B19" s="9" t="s">
        <v>72</v>
      </c>
      <c r="C19" s="9" t="s">
        <v>73</v>
      </c>
      <c r="D19" s="9" t="s">
        <v>8</v>
      </c>
      <c r="E19" s="22" t="s">
        <v>34</v>
      </c>
      <c r="F19" s="9" t="s">
        <v>74</v>
      </c>
      <c r="G19" s="9" t="s">
        <v>77</v>
      </c>
      <c r="H19" s="6" t="b">
        <v>1</v>
      </c>
      <c r="I19" s="12" t="s">
        <v>37</v>
      </c>
      <c r="J19" s="13"/>
      <c r="K19" s="6" t="s">
        <v>43</v>
      </c>
      <c r="L19" s="13" t="s">
        <v>78</v>
      </c>
    </row>
    <row r="20" ht="30.0" customHeight="1">
      <c r="A20" s="9" t="s">
        <v>31</v>
      </c>
      <c r="B20" s="9" t="s">
        <v>79</v>
      </c>
      <c r="C20" s="9" t="s">
        <v>80</v>
      </c>
      <c r="D20" s="9" t="s">
        <v>6</v>
      </c>
      <c r="E20" s="22" t="s">
        <v>34</v>
      </c>
      <c r="F20" s="9" t="s">
        <v>74</v>
      </c>
      <c r="G20" s="9" t="s">
        <v>36</v>
      </c>
      <c r="H20" s="6" t="b">
        <v>1</v>
      </c>
      <c r="I20" s="12" t="s">
        <v>37</v>
      </c>
      <c r="J20" s="13"/>
      <c r="K20" s="6" t="s">
        <v>38</v>
      </c>
      <c r="L20" s="13" t="s">
        <v>39</v>
      </c>
    </row>
    <row r="21" ht="30.0" customHeight="1">
      <c r="A21" s="9" t="s">
        <v>31</v>
      </c>
      <c r="B21" s="9" t="s">
        <v>79</v>
      </c>
      <c r="C21" s="9" t="s">
        <v>80</v>
      </c>
      <c r="D21" s="9" t="s">
        <v>7</v>
      </c>
      <c r="E21" s="22" t="s">
        <v>34</v>
      </c>
      <c r="F21" s="9" t="s">
        <v>74</v>
      </c>
      <c r="G21" s="14" t="s">
        <v>81</v>
      </c>
      <c r="H21" s="7" t="b">
        <v>1</v>
      </c>
      <c r="I21" s="15" t="s">
        <v>54</v>
      </c>
      <c r="J21" s="16" t="s">
        <v>82</v>
      </c>
      <c r="K21" s="7" t="s">
        <v>56</v>
      </c>
      <c r="L21" s="16" t="s">
        <v>83</v>
      </c>
    </row>
    <row r="22" ht="30.0" customHeight="1">
      <c r="A22" s="9" t="s">
        <v>31</v>
      </c>
      <c r="B22" s="9" t="s">
        <v>79</v>
      </c>
      <c r="C22" s="9" t="s">
        <v>80</v>
      </c>
      <c r="D22" s="9" t="s">
        <v>8</v>
      </c>
      <c r="E22" s="22" t="s">
        <v>34</v>
      </c>
      <c r="F22" s="9" t="s">
        <v>74</v>
      </c>
      <c r="G22" s="9" t="s">
        <v>77</v>
      </c>
      <c r="H22" s="6" t="b">
        <v>1</v>
      </c>
      <c r="I22" s="12" t="s">
        <v>37</v>
      </c>
      <c r="J22" s="13"/>
      <c r="K22" s="6" t="s">
        <v>43</v>
      </c>
      <c r="L22" s="13" t="s">
        <v>84</v>
      </c>
    </row>
    <row r="23" ht="30.0" customHeight="1">
      <c r="A23" s="9" t="s">
        <v>31</v>
      </c>
      <c r="B23" s="9" t="s">
        <v>85</v>
      </c>
      <c r="C23" s="9" t="s">
        <v>86</v>
      </c>
      <c r="D23" s="9" t="s">
        <v>6</v>
      </c>
      <c r="E23" s="22" t="s">
        <v>34</v>
      </c>
      <c r="F23" s="9" t="s">
        <v>87</v>
      </c>
      <c r="G23" s="9" t="s">
        <v>88</v>
      </c>
      <c r="H23" s="6" t="b">
        <v>1</v>
      </c>
      <c r="I23" s="12" t="s">
        <v>37</v>
      </c>
      <c r="J23" s="13"/>
      <c r="K23" s="6" t="s">
        <v>41</v>
      </c>
      <c r="L23" s="13" t="s">
        <v>89</v>
      </c>
    </row>
    <row r="24" ht="30.0" customHeight="1">
      <c r="A24" s="9" t="s">
        <v>31</v>
      </c>
      <c r="B24" s="9" t="s">
        <v>85</v>
      </c>
      <c r="C24" s="9" t="s">
        <v>86</v>
      </c>
      <c r="D24" s="9" t="s">
        <v>7</v>
      </c>
      <c r="E24" s="22" t="s">
        <v>34</v>
      </c>
      <c r="F24" s="9" t="s">
        <v>87</v>
      </c>
      <c r="G24" s="14" t="s">
        <v>90</v>
      </c>
      <c r="H24" s="7" t="b">
        <v>1</v>
      </c>
      <c r="I24" s="15" t="s">
        <v>54</v>
      </c>
      <c r="J24" s="16" t="s">
        <v>91</v>
      </c>
      <c r="K24" s="7" t="s">
        <v>56</v>
      </c>
      <c r="L24" s="16" t="s">
        <v>92</v>
      </c>
    </row>
    <row r="25" ht="30.0" customHeight="1">
      <c r="A25" s="9" t="s">
        <v>31</v>
      </c>
      <c r="B25" s="9" t="s">
        <v>85</v>
      </c>
      <c r="C25" s="9" t="s">
        <v>86</v>
      </c>
      <c r="D25" s="9" t="s">
        <v>8</v>
      </c>
      <c r="E25" s="22" t="s">
        <v>34</v>
      </c>
      <c r="F25" s="9" t="s">
        <v>87</v>
      </c>
      <c r="G25" s="9" t="s">
        <v>93</v>
      </c>
      <c r="H25" s="6" t="b">
        <v>1</v>
      </c>
      <c r="I25" s="12" t="s">
        <v>37</v>
      </c>
      <c r="J25" s="13"/>
      <c r="K25" s="6" t="s">
        <v>43</v>
      </c>
      <c r="L25" s="13" t="s">
        <v>94</v>
      </c>
    </row>
    <row r="26" ht="15.75" customHeight="1">
      <c r="A26" s="9" t="s">
        <v>31</v>
      </c>
      <c r="B26" s="9" t="s">
        <v>95</v>
      </c>
      <c r="C26" s="9" t="s">
        <v>96</v>
      </c>
      <c r="D26" s="9" t="s">
        <v>6</v>
      </c>
      <c r="E26" s="22" t="s">
        <v>34</v>
      </c>
      <c r="F26" s="9" t="s">
        <v>40</v>
      </c>
      <c r="G26" s="9" t="s">
        <v>36</v>
      </c>
      <c r="H26" s="6" t="b">
        <v>1</v>
      </c>
      <c r="I26" s="12" t="s">
        <v>37</v>
      </c>
      <c r="J26" s="13"/>
      <c r="K26" s="6" t="s">
        <v>38</v>
      </c>
      <c r="L26" s="13" t="s">
        <v>39</v>
      </c>
    </row>
    <row r="27" ht="15.75" customHeight="1">
      <c r="A27" s="9" t="s">
        <v>31</v>
      </c>
      <c r="B27" s="9" t="s">
        <v>95</v>
      </c>
      <c r="C27" s="9" t="s">
        <v>96</v>
      </c>
      <c r="D27" s="9" t="s">
        <v>7</v>
      </c>
      <c r="E27" s="22" t="s">
        <v>34</v>
      </c>
      <c r="F27" s="9" t="s">
        <v>40</v>
      </c>
      <c r="G27" s="14" t="s">
        <v>97</v>
      </c>
      <c r="H27" s="7" t="b">
        <v>1</v>
      </c>
      <c r="I27" s="15" t="s">
        <v>37</v>
      </c>
      <c r="J27" s="13"/>
      <c r="K27" s="7" t="s">
        <v>43</v>
      </c>
      <c r="L27" s="16" t="s">
        <v>98</v>
      </c>
    </row>
    <row r="28" ht="15.75" customHeight="1">
      <c r="A28" s="9" t="s">
        <v>31</v>
      </c>
      <c r="B28" s="9" t="s">
        <v>95</v>
      </c>
      <c r="C28" s="9" t="s">
        <v>96</v>
      </c>
      <c r="D28" s="9" t="s">
        <v>8</v>
      </c>
      <c r="E28" s="22" t="s">
        <v>34</v>
      </c>
      <c r="F28" s="9" t="s">
        <v>40</v>
      </c>
      <c r="G28" s="9" t="s">
        <v>40</v>
      </c>
      <c r="H28" s="6" t="b">
        <v>1</v>
      </c>
      <c r="I28" s="12" t="s">
        <v>37</v>
      </c>
      <c r="J28" s="13"/>
      <c r="K28" s="6" t="s">
        <v>43</v>
      </c>
      <c r="L28" s="13" t="s">
        <v>99</v>
      </c>
    </row>
    <row r="29" ht="30.0" customHeight="1">
      <c r="A29" s="9" t="s">
        <v>31</v>
      </c>
      <c r="B29" s="9" t="s">
        <v>100</v>
      </c>
      <c r="C29" s="9" t="s">
        <v>101</v>
      </c>
      <c r="D29" s="9" t="s">
        <v>6</v>
      </c>
      <c r="E29" s="22" t="s">
        <v>34</v>
      </c>
      <c r="F29" s="9" t="s">
        <v>102</v>
      </c>
      <c r="G29" s="9" t="s">
        <v>36</v>
      </c>
      <c r="H29" s="6" t="b">
        <v>1</v>
      </c>
      <c r="I29" s="12" t="s">
        <v>37</v>
      </c>
      <c r="J29" s="13"/>
      <c r="K29" s="6" t="s">
        <v>38</v>
      </c>
      <c r="L29" s="13" t="s">
        <v>39</v>
      </c>
    </row>
    <row r="30" ht="30.0" customHeight="1">
      <c r="A30" s="9" t="s">
        <v>31</v>
      </c>
      <c r="B30" s="9" t="s">
        <v>100</v>
      </c>
      <c r="C30" s="9" t="s">
        <v>101</v>
      </c>
      <c r="D30" s="9" t="s">
        <v>7</v>
      </c>
      <c r="E30" s="22" t="s">
        <v>34</v>
      </c>
      <c r="F30" s="9" t="s">
        <v>102</v>
      </c>
      <c r="G30" s="14" t="s">
        <v>103</v>
      </c>
      <c r="H30" s="7" t="b">
        <v>1</v>
      </c>
      <c r="I30" s="15" t="s">
        <v>37</v>
      </c>
      <c r="J30" s="13"/>
      <c r="K30" s="7" t="s">
        <v>43</v>
      </c>
      <c r="L30" s="16" t="s">
        <v>104</v>
      </c>
    </row>
    <row r="31" ht="30.0" customHeight="1">
      <c r="A31" s="9" t="s">
        <v>31</v>
      </c>
      <c r="B31" s="9" t="s">
        <v>100</v>
      </c>
      <c r="C31" s="9" t="s">
        <v>101</v>
      </c>
      <c r="D31" s="9" t="s">
        <v>8</v>
      </c>
      <c r="E31" s="22" t="s">
        <v>34</v>
      </c>
      <c r="F31" s="9" t="s">
        <v>102</v>
      </c>
      <c r="G31" s="9" t="s">
        <v>102</v>
      </c>
      <c r="H31" s="6" t="b">
        <v>1</v>
      </c>
      <c r="I31" s="12" t="s">
        <v>37</v>
      </c>
      <c r="J31" s="13"/>
      <c r="K31" s="6" t="s">
        <v>43</v>
      </c>
      <c r="L31" s="13" t="s">
        <v>99</v>
      </c>
    </row>
    <row r="32" ht="30.0" customHeight="1">
      <c r="A32" s="9" t="s">
        <v>31</v>
      </c>
      <c r="B32" s="9" t="s">
        <v>105</v>
      </c>
      <c r="C32" s="9" t="s">
        <v>106</v>
      </c>
      <c r="D32" s="9" t="s">
        <v>6</v>
      </c>
      <c r="E32" s="22" t="s">
        <v>34</v>
      </c>
      <c r="F32" s="9" t="s">
        <v>102</v>
      </c>
      <c r="G32" s="9" t="s">
        <v>36</v>
      </c>
      <c r="H32" s="6" t="b">
        <v>1</v>
      </c>
      <c r="I32" s="12" t="s">
        <v>37</v>
      </c>
      <c r="J32" s="13"/>
      <c r="K32" s="6" t="s">
        <v>38</v>
      </c>
      <c r="L32" s="13" t="s">
        <v>39</v>
      </c>
    </row>
    <row r="33" ht="30.0" customHeight="1">
      <c r="A33" s="9" t="s">
        <v>31</v>
      </c>
      <c r="B33" s="9" t="s">
        <v>105</v>
      </c>
      <c r="C33" s="9" t="s">
        <v>106</v>
      </c>
      <c r="D33" s="9" t="s">
        <v>7</v>
      </c>
      <c r="E33" s="22" t="s">
        <v>34</v>
      </c>
      <c r="F33" s="9" t="s">
        <v>102</v>
      </c>
      <c r="G33" s="14" t="s">
        <v>107</v>
      </c>
      <c r="H33" s="7" t="b">
        <v>1</v>
      </c>
      <c r="I33" s="15" t="s">
        <v>54</v>
      </c>
      <c r="J33" s="16" t="s">
        <v>108</v>
      </c>
      <c r="K33" s="7" t="s">
        <v>56</v>
      </c>
      <c r="L33" s="16" t="s">
        <v>109</v>
      </c>
    </row>
    <row r="34" ht="30.0" customHeight="1">
      <c r="A34" s="9" t="s">
        <v>31</v>
      </c>
      <c r="B34" s="9" t="s">
        <v>105</v>
      </c>
      <c r="C34" s="9" t="s">
        <v>106</v>
      </c>
      <c r="D34" s="9" t="s">
        <v>8</v>
      </c>
      <c r="E34" s="22" t="s">
        <v>34</v>
      </c>
      <c r="F34" s="9" t="s">
        <v>102</v>
      </c>
      <c r="G34" s="9" t="s">
        <v>102</v>
      </c>
      <c r="H34" s="6" t="b">
        <v>1</v>
      </c>
      <c r="I34" s="12" t="s">
        <v>37</v>
      </c>
      <c r="J34" s="13"/>
      <c r="K34" s="6" t="s">
        <v>43</v>
      </c>
      <c r="L34" s="13" t="s">
        <v>99</v>
      </c>
    </row>
    <row r="35" ht="30.0" customHeight="1">
      <c r="A35" s="9" t="s">
        <v>31</v>
      </c>
      <c r="B35" s="9" t="s">
        <v>110</v>
      </c>
      <c r="C35" s="9" t="s">
        <v>111</v>
      </c>
      <c r="D35" s="9" t="s">
        <v>6</v>
      </c>
      <c r="E35" s="22" t="s">
        <v>34</v>
      </c>
      <c r="F35" s="9" t="s">
        <v>112</v>
      </c>
      <c r="G35" s="9" t="s">
        <v>113</v>
      </c>
      <c r="H35" s="6" t="b">
        <v>1</v>
      </c>
      <c r="I35" s="12" t="s">
        <v>37</v>
      </c>
      <c r="J35" s="13"/>
      <c r="K35" s="6" t="s">
        <v>41</v>
      </c>
      <c r="L35" s="13" t="s">
        <v>89</v>
      </c>
    </row>
    <row r="36" ht="30.0" customHeight="1">
      <c r="A36" s="9" t="s">
        <v>31</v>
      </c>
      <c r="B36" s="9" t="s">
        <v>110</v>
      </c>
      <c r="C36" s="9" t="s">
        <v>111</v>
      </c>
      <c r="D36" s="9" t="s">
        <v>7</v>
      </c>
      <c r="E36" s="22" t="s">
        <v>34</v>
      </c>
      <c r="F36" s="9" t="s">
        <v>112</v>
      </c>
      <c r="G36" s="14" t="s">
        <v>114</v>
      </c>
      <c r="H36" s="7" t="b">
        <v>1</v>
      </c>
      <c r="I36" s="15" t="s">
        <v>54</v>
      </c>
      <c r="J36" s="16" t="s">
        <v>115</v>
      </c>
      <c r="K36" s="7" t="s">
        <v>56</v>
      </c>
      <c r="L36" s="16" t="s">
        <v>116</v>
      </c>
    </row>
    <row r="37" ht="30.0" customHeight="1">
      <c r="A37" s="9" t="s">
        <v>31</v>
      </c>
      <c r="B37" s="9" t="s">
        <v>110</v>
      </c>
      <c r="C37" s="9" t="s">
        <v>111</v>
      </c>
      <c r="D37" s="9" t="s">
        <v>8</v>
      </c>
      <c r="E37" s="22" t="s">
        <v>34</v>
      </c>
      <c r="F37" s="9" t="s">
        <v>112</v>
      </c>
      <c r="G37" s="9" t="s">
        <v>117</v>
      </c>
      <c r="H37" s="6" t="b">
        <v>1</v>
      </c>
      <c r="I37" s="12" t="s">
        <v>37</v>
      </c>
      <c r="J37" s="13"/>
      <c r="K37" s="6" t="s">
        <v>43</v>
      </c>
      <c r="L37" s="13" t="s">
        <v>118</v>
      </c>
    </row>
    <row r="38" ht="15.75" customHeight="1">
      <c r="A38" s="9" t="s">
        <v>31</v>
      </c>
      <c r="B38" s="9" t="s">
        <v>119</v>
      </c>
      <c r="C38" s="9" t="s">
        <v>120</v>
      </c>
      <c r="D38" s="9" t="s">
        <v>6</v>
      </c>
      <c r="E38" s="22" t="s">
        <v>34</v>
      </c>
      <c r="F38" s="9" t="s">
        <v>121</v>
      </c>
      <c r="G38" s="9" t="s">
        <v>122</v>
      </c>
      <c r="H38" s="6" t="b">
        <v>1</v>
      </c>
      <c r="I38" s="12" t="s">
        <v>37</v>
      </c>
      <c r="J38" s="13"/>
      <c r="K38" s="6" t="s">
        <v>123</v>
      </c>
      <c r="L38" s="13" t="s">
        <v>124</v>
      </c>
    </row>
    <row r="39" ht="15.75" customHeight="1">
      <c r="A39" s="9" t="s">
        <v>31</v>
      </c>
      <c r="B39" s="9" t="s">
        <v>119</v>
      </c>
      <c r="C39" s="9" t="s">
        <v>120</v>
      </c>
      <c r="D39" s="9" t="s">
        <v>7</v>
      </c>
      <c r="E39" s="22" t="s">
        <v>34</v>
      </c>
      <c r="F39" s="9" t="s">
        <v>121</v>
      </c>
      <c r="G39" s="14" t="s">
        <v>125</v>
      </c>
      <c r="H39" s="7" t="b">
        <v>1</v>
      </c>
      <c r="I39" s="15" t="s">
        <v>37</v>
      </c>
      <c r="J39" s="13"/>
      <c r="K39" s="7" t="s">
        <v>123</v>
      </c>
      <c r="L39" s="16" t="s">
        <v>126</v>
      </c>
    </row>
    <row r="40" ht="15.75" customHeight="1">
      <c r="A40" s="9" t="s">
        <v>31</v>
      </c>
      <c r="B40" s="9" t="s">
        <v>119</v>
      </c>
      <c r="C40" s="9" t="s">
        <v>120</v>
      </c>
      <c r="D40" s="9" t="s">
        <v>8</v>
      </c>
      <c r="E40" s="22" t="s">
        <v>34</v>
      </c>
      <c r="F40" s="9" t="s">
        <v>121</v>
      </c>
      <c r="G40" s="9" t="s">
        <v>125</v>
      </c>
      <c r="H40" s="6" t="b">
        <v>1</v>
      </c>
      <c r="I40" s="12" t="s">
        <v>37</v>
      </c>
      <c r="J40" s="13"/>
      <c r="K40" s="6" t="s">
        <v>123</v>
      </c>
      <c r="L40" s="13" t="s">
        <v>127</v>
      </c>
    </row>
    <row r="41" ht="15.75" customHeight="1">
      <c r="A41" s="9" t="s">
        <v>31</v>
      </c>
      <c r="B41" s="9" t="s">
        <v>128</v>
      </c>
      <c r="C41" s="9" t="s">
        <v>129</v>
      </c>
      <c r="D41" s="9" t="s">
        <v>6</v>
      </c>
      <c r="E41" s="22" t="s">
        <v>34</v>
      </c>
      <c r="F41" s="9" t="s">
        <v>130</v>
      </c>
      <c r="G41" s="9" t="s">
        <v>131</v>
      </c>
      <c r="H41" s="6" t="b">
        <v>1</v>
      </c>
      <c r="I41" s="12" t="s">
        <v>37</v>
      </c>
      <c r="J41" s="13"/>
      <c r="K41" s="6" t="s">
        <v>41</v>
      </c>
      <c r="L41" s="13" t="s">
        <v>89</v>
      </c>
    </row>
    <row r="42" ht="15.75" customHeight="1">
      <c r="A42" s="9" t="s">
        <v>31</v>
      </c>
      <c r="B42" s="9" t="s">
        <v>128</v>
      </c>
      <c r="C42" s="9" t="s">
        <v>129</v>
      </c>
      <c r="D42" s="9" t="s">
        <v>7</v>
      </c>
      <c r="E42" s="22" t="s">
        <v>34</v>
      </c>
      <c r="F42" s="9" t="s">
        <v>130</v>
      </c>
      <c r="G42" s="14" t="s">
        <v>132</v>
      </c>
      <c r="H42" s="7" t="b">
        <v>1</v>
      </c>
      <c r="I42" s="15" t="s">
        <v>37</v>
      </c>
      <c r="J42" s="13"/>
      <c r="K42" s="7" t="s">
        <v>41</v>
      </c>
      <c r="L42" s="16" t="s">
        <v>133</v>
      </c>
    </row>
    <row r="43" ht="15.75" customHeight="1">
      <c r="A43" s="9" t="s">
        <v>31</v>
      </c>
      <c r="B43" s="9" t="s">
        <v>128</v>
      </c>
      <c r="C43" s="9" t="s">
        <v>129</v>
      </c>
      <c r="D43" s="9" t="s">
        <v>8</v>
      </c>
      <c r="E43" s="22" t="s">
        <v>34</v>
      </c>
      <c r="F43" s="9" t="s">
        <v>130</v>
      </c>
      <c r="G43" s="9" t="s">
        <v>134</v>
      </c>
      <c r="H43" s="6" t="b">
        <v>1</v>
      </c>
      <c r="I43" s="12" t="s">
        <v>37</v>
      </c>
      <c r="J43" s="13"/>
      <c r="K43" s="6" t="s">
        <v>43</v>
      </c>
      <c r="L43" s="13" t="s">
        <v>135</v>
      </c>
    </row>
    <row r="44" ht="30.0" customHeight="1">
      <c r="A44" s="9" t="s">
        <v>31</v>
      </c>
      <c r="B44" s="9" t="s">
        <v>136</v>
      </c>
      <c r="C44" s="9" t="s">
        <v>137</v>
      </c>
      <c r="D44" s="9" t="s">
        <v>6</v>
      </c>
      <c r="E44" s="22" t="s">
        <v>34</v>
      </c>
      <c r="F44" s="9" t="s">
        <v>138</v>
      </c>
      <c r="G44" s="9" t="s">
        <v>139</v>
      </c>
      <c r="H44" s="6" t="b">
        <v>1</v>
      </c>
      <c r="I44" s="12" t="s">
        <v>37</v>
      </c>
      <c r="J44" s="13"/>
      <c r="K44" s="6" t="s">
        <v>41</v>
      </c>
      <c r="L44" s="13" t="s">
        <v>89</v>
      </c>
    </row>
    <row r="45" ht="30.0" customHeight="1">
      <c r="A45" s="9" t="s">
        <v>31</v>
      </c>
      <c r="B45" s="9" t="s">
        <v>136</v>
      </c>
      <c r="C45" s="9" t="s">
        <v>137</v>
      </c>
      <c r="D45" s="9" t="s">
        <v>7</v>
      </c>
      <c r="E45" s="22" t="s">
        <v>34</v>
      </c>
      <c r="F45" s="9" t="s">
        <v>138</v>
      </c>
      <c r="G45" s="14" t="s">
        <v>140</v>
      </c>
      <c r="H45" s="7" t="b">
        <v>1</v>
      </c>
      <c r="I45" s="15" t="s">
        <v>141</v>
      </c>
      <c r="J45" s="16" t="s">
        <v>142</v>
      </c>
      <c r="K45" s="7" t="s">
        <v>38</v>
      </c>
      <c r="L45" s="16" t="s">
        <v>143</v>
      </c>
    </row>
    <row r="46" ht="30.0" customHeight="1">
      <c r="A46" s="9" t="s">
        <v>31</v>
      </c>
      <c r="B46" s="9" t="s">
        <v>136</v>
      </c>
      <c r="C46" s="9" t="s">
        <v>137</v>
      </c>
      <c r="D46" s="9" t="s">
        <v>8</v>
      </c>
      <c r="E46" s="22" t="s">
        <v>34</v>
      </c>
      <c r="F46" s="9" t="s">
        <v>138</v>
      </c>
      <c r="G46" s="9" t="s">
        <v>144</v>
      </c>
      <c r="H46" s="6" t="b">
        <v>1</v>
      </c>
      <c r="I46" s="12" t="s">
        <v>37</v>
      </c>
      <c r="J46" s="16" t="s">
        <v>145</v>
      </c>
      <c r="K46" s="6" t="s">
        <v>123</v>
      </c>
      <c r="L46" s="13" t="s">
        <v>146</v>
      </c>
    </row>
    <row r="47" ht="41.25" customHeight="1">
      <c r="A47" s="9" t="s">
        <v>31</v>
      </c>
      <c r="B47" s="9" t="s">
        <v>147</v>
      </c>
      <c r="C47" s="9" t="s">
        <v>148</v>
      </c>
      <c r="D47" s="9" t="s">
        <v>6</v>
      </c>
      <c r="E47" s="22" t="s">
        <v>34</v>
      </c>
      <c r="F47" s="9" t="s">
        <v>149</v>
      </c>
      <c r="G47" s="9" t="s">
        <v>150</v>
      </c>
      <c r="H47" s="6" t="b">
        <v>1</v>
      </c>
      <c r="I47" s="27" t="s">
        <v>141</v>
      </c>
      <c r="J47" s="13" t="s">
        <v>151</v>
      </c>
      <c r="K47" s="6" t="s">
        <v>38</v>
      </c>
      <c r="L47" s="13" t="s">
        <v>152</v>
      </c>
    </row>
    <row r="48" ht="30.0" customHeight="1">
      <c r="A48" s="9" t="s">
        <v>31</v>
      </c>
      <c r="B48" s="9" t="s">
        <v>147</v>
      </c>
      <c r="C48" s="9" t="s">
        <v>148</v>
      </c>
      <c r="D48" s="9" t="s">
        <v>7</v>
      </c>
      <c r="E48" s="22" t="s">
        <v>34</v>
      </c>
      <c r="F48" s="9" t="s">
        <v>149</v>
      </c>
      <c r="G48" s="14" t="s">
        <v>153</v>
      </c>
      <c r="H48" s="7" t="b">
        <v>1</v>
      </c>
      <c r="I48" s="15" t="s">
        <v>37</v>
      </c>
      <c r="J48" s="13"/>
      <c r="K48" s="7" t="s">
        <v>43</v>
      </c>
      <c r="L48" s="16" t="s">
        <v>154</v>
      </c>
    </row>
    <row r="49" ht="30.0" customHeight="1">
      <c r="A49" s="9" t="s">
        <v>31</v>
      </c>
      <c r="B49" s="9" t="s">
        <v>147</v>
      </c>
      <c r="C49" s="9" t="s">
        <v>148</v>
      </c>
      <c r="D49" s="9" t="s">
        <v>8</v>
      </c>
      <c r="E49" s="22" t="s">
        <v>34</v>
      </c>
      <c r="F49" s="9" t="s">
        <v>149</v>
      </c>
      <c r="G49" s="9" t="s">
        <v>155</v>
      </c>
      <c r="H49" s="6" t="b">
        <v>1</v>
      </c>
      <c r="I49" s="12" t="s">
        <v>37</v>
      </c>
      <c r="J49" s="13"/>
      <c r="K49" s="6" t="s">
        <v>43</v>
      </c>
      <c r="L49" s="13" t="s">
        <v>156</v>
      </c>
    </row>
    <row r="50" ht="15.75" customHeight="1">
      <c r="A50" s="9" t="s">
        <v>31</v>
      </c>
      <c r="B50" s="9" t="s">
        <v>157</v>
      </c>
      <c r="C50" s="9" t="s">
        <v>158</v>
      </c>
      <c r="D50" s="9" t="s">
        <v>6</v>
      </c>
      <c r="E50" s="22" t="s">
        <v>34</v>
      </c>
      <c r="F50" s="9" t="s">
        <v>159</v>
      </c>
      <c r="G50" s="9" t="s">
        <v>160</v>
      </c>
      <c r="H50" s="6" t="b">
        <v>1</v>
      </c>
      <c r="I50" s="12" t="s">
        <v>37</v>
      </c>
      <c r="J50" s="13"/>
      <c r="K50" s="6" t="s">
        <v>41</v>
      </c>
      <c r="L50" s="13" t="s">
        <v>89</v>
      </c>
    </row>
    <row r="51" ht="15.75" customHeight="1">
      <c r="A51" s="9" t="s">
        <v>31</v>
      </c>
      <c r="B51" s="9" t="s">
        <v>157</v>
      </c>
      <c r="C51" s="9" t="s">
        <v>158</v>
      </c>
      <c r="D51" s="9" t="s">
        <v>7</v>
      </c>
      <c r="E51" s="22" t="s">
        <v>34</v>
      </c>
      <c r="F51" s="9" t="s">
        <v>159</v>
      </c>
      <c r="G51" s="14" t="s">
        <v>161</v>
      </c>
      <c r="H51" s="7" t="b">
        <v>1</v>
      </c>
      <c r="I51" s="15" t="s">
        <v>54</v>
      </c>
      <c r="J51" s="16" t="s">
        <v>162</v>
      </c>
      <c r="K51" s="7" t="s">
        <v>56</v>
      </c>
      <c r="L51" s="16" t="s">
        <v>163</v>
      </c>
    </row>
    <row r="52" ht="15.75" customHeight="1">
      <c r="A52" s="9" t="s">
        <v>31</v>
      </c>
      <c r="B52" s="9" t="s">
        <v>157</v>
      </c>
      <c r="C52" s="9" t="s">
        <v>158</v>
      </c>
      <c r="D52" s="9" t="s">
        <v>8</v>
      </c>
      <c r="E52" s="22" t="s">
        <v>34</v>
      </c>
      <c r="F52" s="9" t="s">
        <v>159</v>
      </c>
      <c r="G52" s="9" t="s">
        <v>164</v>
      </c>
      <c r="H52" s="6" t="b">
        <v>1</v>
      </c>
      <c r="I52" s="27" t="s">
        <v>141</v>
      </c>
      <c r="J52" s="13" t="s">
        <v>165</v>
      </c>
      <c r="K52" s="6" t="s">
        <v>56</v>
      </c>
      <c r="L52" s="13" t="s">
        <v>166</v>
      </c>
    </row>
    <row r="53" ht="30.0" customHeight="1">
      <c r="A53" s="9" t="s">
        <v>31</v>
      </c>
      <c r="B53" s="9" t="s">
        <v>167</v>
      </c>
      <c r="C53" s="9" t="s">
        <v>168</v>
      </c>
      <c r="D53" s="9" t="s">
        <v>6</v>
      </c>
      <c r="E53" s="22" t="s">
        <v>34</v>
      </c>
      <c r="F53" s="9" t="s">
        <v>169</v>
      </c>
      <c r="G53" s="9" t="s">
        <v>36</v>
      </c>
      <c r="H53" s="6" t="b">
        <v>1</v>
      </c>
      <c r="I53" s="12" t="s">
        <v>37</v>
      </c>
      <c r="J53" s="13"/>
      <c r="K53" s="6" t="s">
        <v>38</v>
      </c>
      <c r="L53" s="13" t="s">
        <v>39</v>
      </c>
    </row>
    <row r="54" ht="30.0" customHeight="1">
      <c r="A54" s="9" t="s">
        <v>31</v>
      </c>
      <c r="B54" s="9" t="s">
        <v>167</v>
      </c>
      <c r="C54" s="9" t="s">
        <v>168</v>
      </c>
      <c r="D54" s="9" t="s">
        <v>7</v>
      </c>
      <c r="E54" s="22" t="s">
        <v>34</v>
      </c>
      <c r="F54" s="9" t="s">
        <v>169</v>
      </c>
      <c r="G54" s="14" t="s">
        <v>169</v>
      </c>
      <c r="H54" s="7" t="b">
        <v>1</v>
      </c>
      <c r="I54" s="15" t="s">
        <v>37</v>
      </c>
      <c r="J54" s="13"/>
      <c r="K54" s="7" t="s">
        <v>43</v>
      </c>
      <c r="L54" s="16" t="s">
        <v>154</v>
      </c>
    </row>
    <row r="55" ht="30.0" customHeight="1">
      <c r="A55" s="18" t="s">
        <v>31</v>
      </c>
      <c r="B55" s="18" t="s">
        <v>167</v>
      </c>
      <c r="C55" s="18" t="s">
        <v>168</v>
      </c>
      <c r="D55" s="18" t="s">
        <v>8</v>
      </c>
      <c r="E55" s="19" t="s">
        <v>34</v>
      </c>
      <c r="F55" s="18" t="s">
        <v>169</v>
      </c>
      <c r="G55" s="18" t="s">
        <v>169</v>
      </c>
      <c r="H55" s="20" t="b">
        <v>1</v>
      </c>
      <c r="I55" s="12" t="s">
        <v>37</v>
      </c>
      <c r="J55" s="21"/>
      <c r="K55" s="20" t="s">
        <v>43</v>
      </c>
      <c r="L55" s="21" t="s">
        <v>170</v>
      </c>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K2:K55">
      <formula1>"correct,over_assertive,under_assertive,wrong_assertion,not_executable"</formula1>
    </dataValidation>
    <dataValidation type="list" allowBlank="1" sqref="I2:I55">
      <formula1>"PASS,FAIL,RUNTIME ERROR,COMPILATION ERROR"</formula1>
    </dataValidation>
    <dataValidation type="list" allowBlank="1" sqref="H2:H55">
      <formula1>"TRUE,FALSE"</formula1>
    </dataValidation>
    <dataValidation allowBlank="1" showDropDown="1" sqref="A2:G55"/>
  </dataValidations>
  <printOptions/>
  <pageMargins bottom="1.0" footer="0.0" header="0.0" left="0.75" right="0.75" top="1.0"/>
  <pageSetup paperSize="9" orientation="portrait"/>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43"/>
    <col customWidth="1" min="2" max="2" width="42.86"/>
    <col customWidth="1" min="3" max="3" width="24.0"/>
    <col customWidth="1" min="4" max="4" width="29.57"/>
    <col customWidth="1" min="5" max="5" width="15.29"/>
    <col customWidth="1" min="6" max="6" width="60.14"/>
    <col customWidth="1" min="7" max="7" width="56.29"/>
    <col customWidth="1" min="8" max="8" width="14.57"/>
    <col customWidth="1" min="9" max="9" width="17.71"/>
    <col customWidth="1" min="10" max="10" width="40.0"/>
    <col customWidth="1" min="11" max="11" width="22.0"/>
    <col customWidth="1" min="12" max="12" width="37.71"/>
    <col customWidth="1" min="13" max="13" width="8.71"/>
    <col customWidth="1" min="14" max="14" width="40.86"/>
    <col customWidth="1" min="15" max="26" width="8.71"/>
  </cols>
  <sheetData>
    <row r="1" ht="22.5" customHeight="1">
      <c r="A1" s="8" t="s">
        <v>19</v>
      </c>
      <c r="B1" s="8" t="s">
        <v>20</v>
      </c>
      <c r="C1" s="8" t="s">
        <v>21</v>
      </c>
      <c r="D1" s="8" t="s">
        <v>22</v>
      </c>
      <c r="E1" s="8" t="s">
        <v>23</v>
      </c>
      <c r="F1" s="8" t="s">
        <v>24</v>
      </c>
      <c r="G1" s="8" t="s">
        <v>25</v>
      </c>
      <c r="H1" s="8" t="s">
        <v>26</v>
      </c>
      <c r="I1" s="8" t="s">
        <v>27</v>
      </c>
      <c r="J1" s="8" t="s">
        <v>28</v>
      </c>
      <c r="K1" s="8" t="s">
        <v>29</v>
      </c>
      <c r="L1" s="8" t="s">
        <v>30</v>
      </c>
    </row>
    <row r="2" ht="30.0" customHeight="1">
      <c r="A2" s="28" t="s">
        <v>171</v>
      </c>
      <c r="B2" s="28" t="s">
        <v>172</v>
      </c>
      <c r="C2" s="28" t="s">
        <v>173</v>
      </c>
      <c r="D2" s="28" t="s">
        <v>6</v>
      </c>
      <c r="E2" s="29" t="s">
        <v>34</v>
      </c>
      <c r="F2" s="28" t="s">
        <v>174</v>
      </c>
      <c r="G2" s="14" t="s">
        <v>175</v>
      </c>
      <c r="H2" s="15" t="b">
        <v>1</v>
      </c>
      <c r="I2" s="30" t="s">
        <v>37</v>
      </c>
      <c r="J2" s="31"/>
      <c r="K2" s="7" t="s">
        <v>38</v>
      </c>
      <c r="L2" s="14" t="s">
        <v>176</v>
      </c>
    </row>
    <row r="3" ht="15.75" customHeight="1">
      <c r="A3" s="28" t="s">
        <v>171</v>
      </c>
      <c r="B3" s="28" t="s">
        <v>172</v>
      </c>
      <c r="C3" s="28" t="s">
        <v>173</v>
      </c>
      <c r="D3" s="28" t="s">
        <v>7</v>
      </c>
      <c r="E3" s="29" t="s">
        <v>34</v>
      </c>
      <c r="F3" s="28" t="s">
        <v>174</v>
      </c>
      <c r="G3" s="14" t="s">
        <v>177</v>
      </c>
      <c r="H3" s="15" t="b">
        <v>1</v>
      </c>
      <c r="I3" s="30" t="s">
        <v>37</v>
      </c>
      <c r="J3" s="31"/>
      <c r="K3" s="7" t="s">
        <v>43</v>
      </c>
      <c r="L3" s="14" t="s">
        <v>178</v>
      </c>
    </row>
    <row r="4" ht="15.75" customHeight="1">
      <c r="A4" s="28" t="s">
        <v>171</v>
      </c>
      <c r="B4" s="28" t="s">
        <v>172</v>
      </c>
      <c r="C4" s="28" t="s">
        <v>173</v>
      </c>
      <c r="D4" s="28" t="s">
        <v>18</v>
      </c>
      <c r="E4" s="29" t="s">
        <v>34</v>
      </c>
      <c r="F4" s="28" t="s">
        <v>174</v>
      </c>
      <c r="G4" s="14" t="s">
        <v>177</v>
      </c>
      <c r="H4" s="15" t="b">
        <v>1</v>
      </c>
      <c r="I4" s="30" t="s">
        <v>37</v>
      </c>
      <c r="J4" s="31"/>
      <c r="K4" s="7" t="s">
        <v>43</v>
      </c>
      <c r="L4" s="32"/>
    </row>
    <row r="5" ht="15.75" customHeight="1">
      <c r="A5" s="28" t="s">
        <v>171</v>
      </c>
      <c r="B5" s="28" t="s">
        <v>179</v>
      </c>
      <c r="C5" s="28" t="s">
        <v>180</v>
      </c>
      <c r="D5" s="28" t="s">
        <v>6</v>
      </c>
      <c r="E5" s="29" t="s">
        <v>34</v>
      </c>
      <c r="F5" s="28" t="s">
        <v>181</v>
      </c>
      <c r="G5" s="14" t="s">
        <v>182</v>
      </c>
      <c r="H5" s="15" t="b">
        <v>1</v>
      </c>
      <c r="I5" s="30" t="s">
        <v>37</v>
      </c>
      <c r="J5" s="31"/>
      <c r="K5" s="7" t="s">
        <v>41</v>
      </c>
      <c r="L5" s="14" t="s">
        <v>183</v>
      </c>
    </row>
    <row r="6" ht="15.75" customHeight="1">
      <c r="A6" s="28" t="s">
        <v>171</v>
      </c>
      <c r="B6" s="28" t="s">
        <v>179</v>
      </c>
      <c r="C6" s="28" t="s">
        <v>180</v>
      </c>
      <c r="D6" s="28" t="s">
        <v>7</v>
      </c>
      <c r="E6" s="29" t="s">
        <v>34</v>
      </c>
      <c r="F6" s="28" t="s">
        <v>181</v>
      </c>
      <c r="G6" s="14" t="s">
        <v>181</v>
      </c>
      <c r="H6" s="15" t="b">
        <v>1</v>
      </c>
      <c r="I6" s="30" t="s">
        <v>37</v>
      </c>
      <c r="J6" s="31"/>
      <c r="K6" s="7" t="s">
        <v>43</v>
      </c>
      <c r="L6" s="31"/>
    </row>
    <row r="7" ht="15.75" customHeight="1">
      <c r="A7" s="28" t="s">
        <v>171</v>
      </c>
      <c r="B7" s="28" t="s">
        <v>179</v>
      </c>
      <c r="C7" s="28" t="s">
        <v>180</v>
      </c>
      <c r="D7" s="28" t="s">
        <v>18</v>
      </c>
      <c r="E7" s="29" t="s">
        <v>34</v>
      </c>
      <c r="F7" s="28" t="s">
        <v>181</v>
      </c>
      <c r="G7" s="14" t="s">
        <v>181</v>
      </c>
      <c r="H7" s="15" t="b">
        <v>1</v>
      </c>
      <c r="I7" s="30" t="s">
        <v>37</v>
      </c>
      <c r="J7" s="31"/>
      <c r="K7" s="7" t="s">
        <v>43</v>
      </c>
      <c r="L7" s="31"/>
    </row>
    <row r="8" ht="15.75" customHeight="1">
      <c r="A8" s="28" t="s">
        <v>171</v>
      </c>
      <c r="B8" s="28" t="s">
        <v>184</v>
      </c>
      <c r="C8" s="28" t="s">
        <v>185</v>
      </c>
      <c r="D8" s="28" t="s">
        <v>6</v>
      </c>
      <c r="E8" s="29" t="s">
        <v>34</v>
      </c>
      <c r="F8" s="28" t="s">
        <v>186</v>
      </c>
      <c r="G8" s="14" t="s">
        <v>186</v>
      </c>
      <c r="H8" s="15" t="b">
        <v>1</v>
      </c>
      <c r="I8" s="30" t="s">
        <v>37</v>
      </c>
      <c r="J8" s="31"/>
      <c r="K8" s="7" t="s">
        <v>43</v>
      </c>
      <c r="L8" s="31"/>
    </row>
    <row r="9" ht="15.75" customHeight="1">
      <c r="A9" s="28" t="s">
        <v>171</v>
      </c>
      <c r="B9" s="28" t="s">
        <v>184</v>
      </c>
      <c r="C9" s="28" t="s">
        <v>185</v>
      </c>
      <c r="D9" s="28" t="s">
        <v>7</v>
      </c>
      <c r="E9" s="29" t="s">
        <v>34</v>
      </c>
      <c r="F9" s="28" t="s">
        <v>186</v>
      </c>
      <c r="G9" s="14" t="s">
        <v>186</v>
      </c>
      <c r="H9" s="15" t="b">
        <v>1</v>
      </c>
      <c r="I9" s="30" t="s">
        <v>37</v>
      </c>
      <c r="J9" s="31"/>
      <c r="K9" s="7" t="s">
        <v>43</v>
      </c>
      <c r="L9" s="31"/>
    </row>
    <row r="10" ht="15.75" customHeight="1">
      <c r="A10" s="28" t="s">
        <v>171</v>
      </c>
      <c r="B10" s="28" t="s">
        <v>184</v>
      </c>
      <c r="C10" s="28" t="s">
        <v>185</v>
      </c>
      <c r="D10" s="28" t="s">
        <v>18</v>
      </c>
      <c r="E10" s="29" t="s">
        <v>34</v>
      </c>
      <c r="F10" s="28" t="s">
        <v>186</v>
      </c>
      <c r="G10" s="14" t="s">
        <v>186</v>
      </c>
      <c r="H10" s="15" t="b">
        <v>1</v>
      </c>
      <c r="I10" s="30" t="s">
        <v>37</v>
      </c>
      <c r="J10" s="31"/>
      <c r="K10" s="7" t="s">
        <v>43</v>
      </c>
      <c r="L10" s="31"/>
    </row>
    <row r="11" ht="15.75" customHeight="1">
      <c r="A11" s="28" t="s">
        <v>171</v>
      </c>
      <c r="B11" s="28" t="s">
        <v>187</v>
      </c>
      <c r="C11" s="28" t="s">
        <v>188</v>
      </c>
      <c r="D11" s="28" t="s">
        <v>6</v>
      </c>
      <c r="E11" s="29" t="s">
        <v>34</v>
      </c>
      <c r="F11" s="28" t="s">
        <v>189</v>
      </c>
      <c r="G11" s="14" t="s">
        <v>190</v>
      </c>
      <c r="H11" s="15" t="b">
        <v>1</v>
      </c>
      <c r="I11" s="30" t="s">
        <v>141</v>
      </c>
      <c r="J11" s="14" t="s">
        <v>191</v>
      </c>
      <c r="K11" s="7" t="s">
        <v>38</v>
      </c>
      <c r="L11" s="14" t="s">
        <v>192</v>
      </c>
    </row>
    <row r="12" ht="15.75" customHeight="1">
      <c r="A12" s="28" t="s">
        <v>171</v>
      </c>
      <c r="B12" s="28" t="s">
        <v>187</v>
      </c>
      <c r="C12" s="28" t="s">
        <v>188</v>
      </c>
      <c r="D12" s="28" t="s">
        <v>7</v>
      </c>
      <c r="E12" s="29" t="s">
        <v>34</v>
      </c>
      <c r="F12" s="28" t="s">
        <v>189</v>
      </c>
      <c r="G12" s="14" t="s">
        <v>189</v>
      </c>
      <c r="H12" s="15" t="b">
        <v>1</v>
      </c>
      <c r="I12" s="30" t="s">
        <v>37</v>
      </c>
      <c r="J12" s="31"/>
      <c r="K12" s="7" t="s">
        <v>43</v>
      </c>
      <c r="L12" s="31"/>
    </row>
    <row r="13" ht="15.75" customHeight="1">
      <c r="A13" s="28" t="s">
        <v>171</v>
      </c>
      <c r="B13" s="28" t="s">
        <v>187</v>
      </c>
      <c r="C13" s="28" t="s">
        <v>188</v>
      </c>
      <c r="D13" s="28" t="s">
        <v>18</v>
      </c>
      <c r="E13" s="29" t="s">
        <v>34</v>
      </c>
      <c r="F13" s="28" t="s">
        <v>189</v>
      </c>
      <c r="G13" s="14" t="s">
        <v>189</v>
      </c>
      <c r="H13" s="15" t="b">
        <v>1</v>
      </c>
      <c r="I13" s="30" t="s">
        <v>37</v>
      </c>
      <c r="J13" s="31"/>
      <c r="K13" s="7" t="s">
        <v>43</v>
      </c>
      <c r="L13" s="31"/>
    </row>
    <row r="14" ht="15.75" customHeight="1">
      <c r="A14" s="28" t="s">
        <v>171</v>
      </c>
      <c r="B14" s="28" t="s">
        <v>193</v>
      </c>
      <c r="C14" s="28" t="s">
        <v>194</v>
      </c>
      <c r="D14" s="28" t="s">
        <v>6</v>
      </c>
      <c r="E14" s="29" t="s">
        <v>34</v>
      </c>
      <c r="F14" s="28" t="s">
        <v>195</v>
      </c>
      <c r="G14" s="14" t="s">
        <v>195</v>
      </c>
      <c r="H14" s="15" t="b">
        <v>1</v>
      </c>
      <c r="I14" s="30" t="s">
        <v>37</v>
      </c>
      <c r="J14" s="31"/>
      <c r="K14" s="7" t="s">
        <v>43</v>
      </c>
      <c r="L14" s="31"/>
    </row>
    <row r="15" ht="15.75" customHeight="1">
      <c r="A15" s="28" t="s">
        <v>171</v>
      </c>
      <c r="B15" s="28" t="s">
        <v>193</v>
      </c>
      <c r="C15" s="28" t="s">
        <v>194</v>
      </c>
      <c r="D15" s="28" t="s">
        <v>7</v>
      </c>
      <c r="E15" s="29" t="s">
        <v>34</v>
      </c>
      <c r="F15" s="28" t="s">
        <v>195</v>
      </c>
      <c r="G15" s="14" t="s">
        <v>195</v>
      </c>
      <c r="H15" s="15" t="b">
        <v>1</v>
      </c>
      <c r="I15" s="30" t="s">
        <v>37</v>
      </c>
      <c r="J15" s="31"/>
      <c r="K15" s="7" t="s">
        <v>43</v>
      </c>
      <c r="L15" s="31"/>
    </row>
    <row r="16" ht="15.75" customHeight="1">
      <c r="A16" s="28" t="s">
        <v>171</v>
      </c>
      <c r="B16" s="28" t="s">
        <v>193</v>
      </c>
      <c r="C16" s="28" t="s">
        <v>194</v>
      </c>
      <c r="D16" s="28" t="s">
        <v>18</v>
      </c>
      <c r="E16" s="29" t="s">
        <v>34</v>
      </c>
      <c r="F16" s="28" t="s">
        <v>195</v>
      </c>
      <c r="G16" s="14" t="s">
        <v>195</v>
      </c>
      <c r="H16" s="15" t="b">
        <v>1</v>
      </c>
      <c r="I16" s="30" t="s">
        <v>37</v>
      </c>
      <c r="J16" s="31"/>
      <c r="K16" s="7" t="s">
        <v>43</v>
      </c>
      <c r="L16" s="31"/>
    </row>
    <row r="17" ht="15.75" customHeight="1">
      <c r="A17" s="28" t="s">
        <v>171</v>
      </c>
      <c r="B17" s="28" t="s">
        <v>196</v>
      </c>
      <c r="C17" s="28" t="s">
        <v>197</v>
      </c>
      <c r="D17" s="28" t="s">
        <v>6</v>
      </c>
      <c r="E17" s="29" t="s">
        <v>34</v>
      </c>
      <c r="F17" s="28" t="s">
        <v>198</v>
      </c>
      <c r="G17" s="14" t="s">
        <v>199</v>
      </c>
      <c r="H17" s="15" t="b">
        <v>1</v>
      </c>
      <c r="I17" s="30" t="s">
        <v>141</v>
      </c>
      <c r="J17" s="14" t="s">
        <v>200</v>
      </c>
      <c r="K17" s="7" t="s">
        <v>123</v>
      </c>
      <c r="L17" s="14" t="s">
        <v>201</v>
      </c>
    </row>
    <row r="18" ht="15.75" customHeight="1">
      <c r="A18" s="28" t="s">
        <v>171</v>
      </c>
      <c r="B18" s="28" t="s">
        <v>196</v>
      </c>
      <c r="C18" s="28" t="s">
        <v>197</v>
      </c>
      <c r="D18" s="28" t="s">
        <v>7</v>
      </c>
      <c r="E18" s="29" t="s">
        <v>34</v>
      </c>
      <c r="F18" s="28" t="s">
        <v>198</v>
      </c>
      <c r="G18" s="14" t="s">
        <v>202</v>
      </c>
      <c r="H18" s="15" t="b">
        <v>1</v>
      </c>
      <c r="I18" s="30" t="s">
        <v>141</v>
      </c>
      <c r="J18" s="14" t="s">
        <v>203</v>
      </c>
      <c r="K18" s="7" t="s">
        <v>38</v>
      </c>
      <c r="L18" s="31"/>
    </row>
    <row r="19" ht="15.75" customHeight="1">
      <c r="A19" s="28" t="s">
        <v>171</v>
      </c>
      <c r="B19" s="28" t="s">
        <v>196</v>
      </c>
      <c r="C19" s="28" t="s">
        <v>197</v>
      </c>
      <c r="D19" s="28" t="s">
        <v>18</v>
      </c>
      <c r="E19" s="29" t="s">
        <v>34</v>
      </c>
      <c r="F19" s="28" t="s">
        <v>198</v>
      </c>
      <c r="G19" s="14" t="s">
        <v>199</v>
      </c>
      <c r="H19" s="15" t="b">
        <v>1</v>
      </c>
      <c r="I19" s="30" t="s">
        <v>141</v>
      </c>
      <c r="J19" s="14" t="s">
        <v>200</v>
      </c>
      <c r="K19" s="7" t="s">
        <v>38</v>
      </c>
      <c r="L19" s="31"/>
    </row>
    <row r="20" ht="15.75" customHeight="1">
      <c r="A20" s="28" t="s">
        <v>171</v>
      </c>
      <c r="B20" s="28" t="s">
        <v>204</v>
      </c>
      <c r="C20" s="28" t="s">
        <v>205</v>
      </c>
      <c r="D20" s="28" t="s">
        <v>6</v>
      </c>
      <c r="E20" s="29" t="s">
        <v>34</v>
      </c>
      <c r="F20" s="28" t="s">
        <v>206</v>
      </c>
      <c r="G20" s="14" t="s">
        <v>207</v>
      </c>
      <c r="H20" s="15" t="b">
        <v>0</v>
      </c>
      <c r="I20" s="30" t="s">
        <v>208</v>
      </c>
      <c r="J20" s="14" t="s">
        <v>209</v>
      </c>
      <c r="K20" s="7" t="s">
        <v>56</v>
      </c>
      <c r="L20" s="14" t="s">
        <v>210</v>
      </c>
    </row>
    <row r="21" ht="15.75" customHeight="1">
      <c r="A21" s="28" t="s">
        <v>171</v>
      </c>
      <c r="B21" s="28" t="s">
        <v>204</v>
      </c>
      <c r="C21" s="28" t="s">
        <v>205</v>
      </c>
      <c r="D21" s="28" t="s">
        <v>6</v>
      </c>
      <c r="E21" s="29" t="s">
        <v>34</v>
      </c>
      <c r="F21" s="28" t="s">
        <v>206</v>
      </c>
      <c r="G21" s="14" t="s">
        <v>211</v>
      </c>
      <c r="H21" s="15" t="b">
        <v>1</v>
      </c>
      <c r="I21" s="30" t="s">
        <v>141</v>
      </c>
      <c r="J21" s="14" t="s">
        <v>212</v>
      </c>
      <c r="K21" s="7" t="s">
        <v>38</v>
      </c>
      <c r="L21" s="14" t="s">
        <v>213</v>
      </c>
    </row>
    <row r="22" ht="15.75" customHeight="1">
      <c r="A22" s="28" t="s">
        <v>171</v>
      </c>
      <c r="B22" s="28" t="s">
        <v>204</v>
      </c>
      <c r="C22" s="28" t="s">
        <v>205</v>
      </c>
      <c r="D22" s="28" t="s">
        <v>7</v>
      </c>
      <c r="E22" s="29" t="s">
        <v>34</v>
      </c>
      <c r="F22" s="28" t="s">
        <v>206</v>
      </c>
      <c r="G22" s="14" t="s">
        <v>206</v>
      </c>
      <c r="H22" s="15" t="b">
        <v>1</v>
      </c>
      <c r="I22" s="30" t="s">
        <v>37</v>
      </c>
      <c r="J22" s="31"/>
      <c r="K22" s="7" t="s">
        <v>43</v>
      </c>
      <c r="L22" s="31"/>
    </row>
    <row r="23" ht="15.75" customHeight="1">
      <c r="A23" s="28" t="s">
        <v>171</v>
      </c>
      <c r="B23" s="28" t="s">
        <v>204</v>
      </c>
      <c r="C23" s="28" t="s">
        <v>205</v>
      </c>
      <c r="D23" s="28" t="s">
        <v>18</v>
      </c>
      <c r="E23" s="29" t="s">
        <v>34</v>
      </c>
      <c r="F23" s="28" t="s">
        <v>206</v>
      </c>
      <c r="G23" s="14" t="s">
        <v>206</v>
      </c>
      <c r="H23" s="15" t="b">
        <v>1</v>
      </c>
      <c r="I23" s="30" t="s">
        <v>37</v>
      </c>
      <c r="J23" s="31"/>
      <c r="K23" s="7" t="s">
        <v>43</v>
      </c>
      <c r="L23" s="31"/>
    </row>
    <row r="24" ht="15.75" customHeight="1">
      <c r="A24" s="28" t="s">
        <v>171</v>
      </c>
      <c r="B24" s="28" t="s">
        <v>214</v>
      </c>
      <c r="C24" s="28" t="s">
        <v>215</v>
      </c>
      <c r="D24" s="28" t="s">
        <v>6</v>
      </c>
      <c r="E24" s="29" t="s">
        <v>34</v>
      </c>
      <c r="F24" s="28" t="s">
        <v>216</v>
      </c>
      <c r="G24" s="14" t="s">
        <v>217</v>
      </c>
      <c r="H24" s="15" t="b">
        <v>1</v>
      </c>
      <c r="I24" s="30" t="s">
        <v>141</v>
      </c>
      <c r="J24" s="14" t="s">
        <v>218</v>
      </c>
      <c r="K24" s="7" t="s">
        <v>123</v>
      </c>
      <c r="L24" s="14" t="s">
        <v>201</v>
      </c>
    </row>
    <row r="25" ht="15.75" customHeight="1">
      <c r="A25" s="28" t="s">
        <v>171</v>
      </c>
      <c r="B25" s="28" t="s">
        <v>214</v>
      </c>
      <c r="C25" s="28" t="s">
        <v>215</v>
      </c>
      <c r="D25" s="28" t="s">
        <v>7</v>
      </c>
      <c r="E25" s="29" t="s">
        <v>34</v>
      </c>
      <c r="F25" s="28" t="s">
        <v>216</v>
      </c>
      <c r="G25" s="14" t="s">
        <v>219</v>
      </c>
      <c r="H25" s="15" t="b">
        <v>1</v>
      </c>
      <c r="I25" s="30" t="s">
        <v>141</v>
      </c>
      <c r="J25" s="14" t="s">
        <v>220</v>
      </c>
      <c r="K25" s="7" t="s">
        <v>38</v>
      </c>
      <c r="L25" s="31"/>
    </row>
    <row r="26" ht="15.75" customHeight="1">
      <c r="A26" s="28" t="s">
        <v>171</v>
      </c>
      <c r="B26" s="28" t="s">
        <v>214</v>
      </c>
      <c r="C26" s="28" t="s">
        <v>215</v>
      </c>
      <c r="D26" s="28" t="s">
        <v>18</v>
      </c>
      <c r="E26" s="29" t="s">
        <v>34</v>
      </c>
      <c r="F26" s="28" t="s">
        <v>216</v>
      </c>
      <c r="G26" s="14" t="s">
        <v>217</v>
      </c>
      <c r="H26" s="15" t="b">
        <v>1</v>
      </c>
      <c r="I26" s="30" t="s">
        <v>141</v>
      </c>
      <c r="J26" s="14" t="s">
        <v>218</v>
      </c>
      <c r="K26" s="7" t="s">
        <v>38</v>
      </c>
      <c r="L26" s="31"/>
    </row>
    <row r="27" ht="15.75" customHeight="1">
      <c r="A27" s="28" t="s">
        <v>171</v>
      </c>
      <c r="B27" s="28" t="s">
        <v>221</v>
      </c>
      <c r="C27" s="28" t="s">
        <v>222</v>
      </c>
      <c r="D27" s="28" t="s">
        <v>6</v>
      </c>
      <c r="E27" s="29" t="s">
        <v>34</v>
      </c>
      <c r="F27" s="28" t="s">
        <v>223</v>
      </c>
      <c r="G27" s="14" t="s">
        <v>224</v>
      </c>
      <c r="H27" s="15" t="b">
        <v>0</v>
      </c>
      <c r="I27" s="30" t="s">
        <v>208</v>
      </c>
      <c r="J27" s="14" t="s">
        <v>225</v>
      </c>
      <c r="K27" s="7" t="s">
        <v>56</v>
      </c>
      <c r="L27" s="14" t="s">
        <v>226</v>
      </c>
    </row>
    <row r="28" ht="15.75" customHeight="1">
      <c r="A28" s="28" t="s">
        <v>171</v>
      </c>
      <c r="B28" s="28" t="s">
        <v>221</v>
      </c>
      <c r="C28" s="28" t="s">
        <v>222</v>
      </c>
      <c r="D28" s="28" t="s">
        <v>6</v>
      </c>
      <c r="E28" s="29" t="s">
        <v>34</v>
      </c>
      <c r="F28" s="28" t="s">
        <v>223</v>
      </c>
      <c r="G28" s="14" t="s">
        <v>227</v>
      </c>
      <c r="H28" s="15" t="b">
        <v>1</v>
      </c>
      <c r="I28" s="30" t="s">
        <v>141</v>
      </c>
      <c r="J28" s="14" t="s">
        <v>228</v>
      </c>
      <c r="K28" s="7" t="s">
        <v>38</v>
      </c>
      <c r="L28" s="14" t="s">
        <v>229</v>
      </c>
    </row>
    <row r="29" ht="15.75" customHeight="1">
      <c r="A29" s="28" t="s">
        <v>171</v>
      </c>
      <c r="B29" s="28" t="s">
        <v>221</v>
      </c>
      <c r="C29" s="28" t="s">
        <v>222</v>
      </c>
      <c r="D29" s="28" t="s">
        <v>7</v>
      </c>
      <c r="E29" s="29" t="s">
        <v>34</v>
      </c>
      <c r="F29" s="28" t="s">
        <v>223</v>
      </c>
      <c r="G29" s="14" t="s">
        <v>223</v>
      </c>
      <c r="H29" s="15" t="b">
        <v>1</v>
      </c>
      <c r="I29" s="30" t="s">
        <v>37</v>
      </c>
      <c r="J29" s="31"/>
      <c r="K29" s="7" t="s">
        <v>43</v>
      </c>
      <c r="L29" s="31"/>
    </row>
    <row r="30" ht="15.75" customHeight="1">
      <c r="A30" s="28" t="s">
        <v>171</v>
      </c>
      <c r="B30" s="28" t="s">
        <v>221</v>
      </c>
      <c r="C30" s="28" t="s">
        <v>222</v>
      </c>
      <c r="D30" s="28" t="s">
        <v>18</v>
      </c>
      <c r="E30" s="29" t="s">
        <v>34</v>
      </c>
      <c r="F30" s="28" t="s">
        <v>223</v>
      </c>
      <c r="G30" s="14" t="s">
        <v>223</v>
      </c>
      <c r="H30" s="15" t="b">
        <v>1</v>
      </c>
      <c r="I30" s="30" t="s">
        <v>37</v>
      </c>
      <c r="J30" s="31"/>
      <c r="K30" s="7" t="s">
        <v>43</v>
      </c>
      <c r="L30" s="31"/>
    </row>
    <row r="31" ht="15.75" customHeight="1">
      <c r="A31" s="28" t="s">
        <v>171</v>
      </c>
      <c r="B31" s="28" t="s">
        <v>230</v>
      </c>
      <c r="C31" s="28" t="s">
        <v>231</v>
      </c>
      <c r="D31" s="28" t="s">
        <v>6</v>
      </c>
      <c r="E31" s="29" t="s">
        <v>34</v>
      </c>
      <c r="F31" s="28" t="s">
        <v>232</v>
      </c>
      <c r="G31" s="14" t="s">
        <v>233</v>
      </c>
      <c r="H31" s="15" t="b">
        <v>0</v>
      </c>
      <c r="I31" s="30" t="s">
        <v>208</v>
      </c>
      <c r="J31" s="14" t="s">
        <v>234</v>
      </c>
      <c r="K31" s="7" t="s">
        <v>56</v>
      </c>
      <c r="L31" s="31"/>
    </row>
    <row r="32" ht="15.75" customHeight="1">
      <c r="A32" s="28" t="s">
        <v>171</v>
      </c>
      <c r="B32" s="28" t="s">
        <v>230</v>
      </c>
      <c r="C32" s="28" t="s">
        <v>231</v>
      </c>
      <c r="D32" s="28" t="s">
        <v>6</v>
      </c>
      <c r="E32" s="29" t="s">
        <v>34</v>
      </c>
      <c r="F32" s="28" t="s">
        <v>232</v>
      </c>
      <c r="G32" s="14" t="s">
        <v>235</v>
      </c>
      <c r="H32" s="15" t="b">
        <v>1</v>
      </c>
      <c r="I32" s="30" t="s">
        <v>37</v>
      </c>
      <c r="J32" s="14"/>
      <c r="K32" s="7" t="s">
        <v>123</v>
      </c>
      <c r="L32" s="33" t="s">
        <v>201</v>
      </c>
      <c r="N32" s="34" t="s">
        <v>236</v>
      </c>
    </row>
    <row r="33" ht="15.75" customHeight="1">
      <c r="A33" s="28" t="s">
        <v>171</v>
      </c>
      <c r="B33" s="28" t="s">
        <v>230</v>
      </c>
      <c r="C33" s="28" t="s">
        <v>231</v>
      </c>
      <c r="D33" s="28" t="s">
        <v>7</v>
      </c>
      <c r="E33" s="29" t="s">
        <v>34</v>
      </c>
      <c r="F33" s="28" t="s">
        <v>232</v>
      </c>
      <c r="G33" s="14" t="s">
        <v>237</v>
      </c>
      <c r="H33" s="15" t="b">
        <v>1</v>
      </c>
      <c r="I33" s="30" t="s">
        <v>37</v>
      </c>
      <c r="J33" s="31"/>
      <c r="K33" s="7" t="s">
        <v>43</v>
      </c>
      <c r="L33" s="31"/>
    </row>
    <row r="34" ht="15.75" customHeight="1">
      <c r="A34" s="28" t="s">
        <v>171</v>
      </c>
      <c r="B34" s="28" t="s">
        <v>230</v>
      </c>
      <c r="C34" s="28" t="s">
        <v>231</v>
      </c>
      <c r="D34" s="28" t="s">
        <v>18</v>
      </c>
      <c r="E34" s="29" t="s">
        <v>34</v>
      </c>
      <c r="F34" s="28" t="s">
        <v>232</v>
      </c>
      <c r="G34" s="14" t="s">
        <v>238</v>
      </c>
      <c r="H34" s="15" t="b">
        <v>1</v>
      </c>
      <c r="I34" s="30" t="s">
        <v>37</v>
      </c>
      <c r="J34" s="31"/>
      <c r="K34" s="7" t="s">
        <v>123</v>
      </c>
      <c r="L34" s="14" t="s">
        <v>201</v>
      </c>
    </row>
    <row r="35" ht="15.75" customHeight="1">
      <c r="A35" s="28" t="s">
        <v>171</v>
      </c>
      <c r="B35" s="28" t="s">
        <v>239</v>
      </c>
      <c r="C35" s="28" t="s">
        <v>240</v>
      </c>
      <c r="D35" s="28" t="s">
        <v>6</v>
      </c>
      <c r="E35" s="29" t="s">
        <v>34</v>
      </c>
      <c r="F35" s="28" t="s">
        <v>241</v>
      </c>
      <c r="G35" s="14" t="s">
        <v>242</v>
      </c>
      <c r="H35" s="15" t="b">
        <v>1</v>
      </c>
      <c r="I35" s="30" t="s">
        <v>141</v>
      </c>
      <c r="J35" s="14" t="s">
        <v>243</v>
      </c>
      <c r="K35" s="7" t="s">
        <v>38</v>
      </c>
      <c r="L35" s="14" t="s">
        <v>244</v>
      </c>
    </row>
    <row r="36" ht="15.75" customHeight="1">
      <c r="A36" s="28" t="s">
        <v>171</v>
      </c>
      <c r="B36" s="28" t="s">
        <v>239</v>
      </c>
      <c r="C36" s="28" t="s">
        <v>240</v>
      </c>
      <c r="D36" s="28" t="s">
        <v>7</v>
      </c>
      <c r="E36" s="29" t="s">
        <v>34</v>
      </c>
      <c r="F36" s="28" t="s">
        <v>241</v>
      </c>
      <c r="G36" s="14" t="s">
        <v>241</v>
      </c>
      <c r="H36" s="15" t="b">
        <v>1</v>
      </c>
      <c r="I36" s="30" t="s">
        <v>37</v>
      </c>
      <c r="J36" s="31"/>
      <c r="K36" s="7" t="s">
        <v>43</v>
      </c>
      <c r="L36" s="31"/>
    </row>
    <row r="37" ht="15.75" customHeight="1">
      <c r="A37" s="28" t="s">
        <v>171</v>
      </c>
      <c r="B37" s="28" t="s">
        <v>239</v>
      </c>
      <c r="C37" s="28" t="s">
        <v>240</v>
      </c>
      <c r="D37" s="28" t="s">
        <v>18</v>
      </c>
      <c r="E37" s="29" t="s">
        <v>34</v>
      </c>
      <c r="F37" s="28" t="s">
        <v>241</v>
      </c>
      <c r="G37" s="14" t="s">
        <v>241</v>
      </c>
      <c r="H37" s="15" t="b">
        <v>1</v>
      </c>
      <c r="I37" s="30" t="s">
        <v>37</v>
      </c>
      <c r="J37" s="31"/>
      <c r="K37" s="7" t="s">
        <v>43</v>
      </c>
      <c r="L37" s="31"/>
    </row>
    <row r="38" ht="15.75" customHeight="1">
      <c r="A38" s="28" t="s">
        <v>171</v>
      </c>
      <c r="B38" s="28" t="s">
        <v>245</v>
      </c>
      <c r="C38" s="28" t="s">
        <v>246</v>
      </c>
      <c r="D38" s="28" t="s">
        <v>6</v>
      </c>
      <c r="E38" s="29" t="s">
        <v>34</v>
      </c>
      <c r="F38" s="28" t="s">
        <v>247</v>
      </c>
      <c r="G38" s="14" t="s">
        <v>247</v>
      </c>
      <c r="H38" s="15" t="b">
        <v>1</v>
      </c>
      <c r="I38" s="30" t="s">
        <v>37</v>
      </c>
      <c r="J38" s="31"/>
      <c r="K38" s="7" t="s">
        <v>43</v>
      </c>
      <c r="L38" s="35"/>
      <c r="N38" s="34" t="s">
        <v>248</v>
      </c>
    </row>
    <row r="39" ht="15.75" customHeight="1">
      <c r="A39" s="28" t="s">
        <v>171</v>
      </c>
      <c r="B39" s="28" t="s">
        <v>245</v>
      </c>
      <c r="C39" s="28" t="s">
        <v>246</v>
      </c>
      <c r="D39" s="28" t="s">
        <v>7</v>
      </c>
      <c r="E39" s="29" t="s">
        <v>34</v>
      </c>
      <c r="F39" s="28" t="s">
        <v>247</v>
      </c>
      <c r="G39" s="14" t="s">
        <v>247</v>
      </c>
      <c r="H39" s="15" t="b">
        <v>1</v>
      </c>
      <c r="I39" s="30" t="s">
        <v>37</v>
      </c>
      <c r="J39" s="31"/>
      <c r="K39" s="7" t="s">
        <v>43</v>
      </c>
      <c r="L39" s="31"/>
    </row>
    <row r="40" ht="15.75" customHeight="1">
      <c r="A40" s="28" t="s">
        <v>171</v>
      </c>
      <c r="B40" s="28" t="s">
        <v>245</v>
      </c>
      <c r="C40" s="28" t="s">
        <v>246</v>
      </c>
      <c r="D40" s="28" t="s">
        <v>18</v>
      </c>
      <c r="E40" s="29" t="s">
        <v>34</v>
      </c>
      <c r="F40" s="28" t="s">
        <v>247</v>
      </c>
      <c r="G40" s="14" t="s">
        <v>247</v>
      </c>
      <c r="H40" s="15" t="b">
        <v>1</v>
      </c>
      <c r="I40" s="30" t="s">
        <v>37</v>
      </c>
      <c r="J40" s="31"/>
      <c r="K40" s="7" t="s">
        <v>43</v>
      </c>
      <c r="L40" s="14" t="s">
        <v>249</v>
      </c>
    </row>
    <row r="41" ht="15.75" customHeight="1">
      <c r="A41" s="28" t="s">
        <v>171</v>
      </c>
      <c r="B41" s="28" t="s">
        <v>250</v>
      </c>
      <c r="C41" s="28" t="s">
        <v>251</v>
      </c>
      <c r="D41" s="28" t="s">
        <v>6</v>
      </c>
      <c r="E41" s="29" t="s">
        <v>34</v>
      </c>
      <c r="F41" s="28" t="s">
        <v>252</v>
      </c>
      <c r="G41" s="14" t="s">
        <v>252</v>
      </c>
      <c r="H41" s="15" t="b">
        <v>1</v>
      </c>
      <c r="I41" s="30" t="s">
        <v>37</v>
      </c>
      <c r="J41" s="31"/>
      <c r="K41" s="7" t="s">
        <v>43</v>
      </c>
      <c r="L41" s="31"/>
    </row>
    <row r="42" ht="15.75" customHeight="1">
      <c r="A42" s="28" t="s">
        <v>171</v>
      </c>
      <c r="B42" s="28" t="s">
        <v>250</v>
      </c>
      <c r="C42" s="28" t="s">
        <v>251</v>
      </c>
      <c r="D42" s="28" t="s">
        <v>7</v>
      </c>
      <c r="E42" s="29" t="s">
        <v>34</v>
      </c>
      <c r="F42" s="28" t="s">
        <v>252</v>
      </c>
      <c r="G42" s="14" t="s">
        <v>252</v>
      </c>
      <c r="H42" s="15" t="b">
        <v>1</v>
      </c>
      <c r="I42" s="30" t="s">
        <v>37</v>
      </c>
      <c r="J42" s="31"/>
      <c r="K42" s="7" t="s">
        <v>43</v>
      </c>
      <c r="L42" s="31"/>
    </row>
    <row r="43" ht="15.75" customHeight="1">
      <c r="A43" s="28" t="s">
        <v>171</v>
      </c>
      <c r="B43" s="28" t="s">
        <v>250</v>
      </c>
      <c r="C43" s="28" t="s">
        <v>251</v>
      </c>
      <c r="D43" s="28" t="s">
        <v>18</v>
      </c>
      <c r="E43" s="29" t="s">
        <v>34</v>
      </c>
      <c r="F43" s="28" t="s">
        <v>252</v>
      </c>
      <c r="G43" s="14" t="s">
        <v>252</v>
      </c>
      <c r="H43" s="15" t="b">
        <v>1</v>
      </c>
      <c r="I43" s="30" t="s">
        <v>37</v>
      </c>
      <c r="J43" s="31"/>
      <c r="K43" s="7" t="s">
        <v>43</v>
      </c>
      <c r="L43" s="31"/>
    </row>
    <row r="44" ht="15.75" customHeight="1">
      <c r="A44" s="28" t="s">
        <v>171</v>
      </c>
      <c r="B44" s="28" t="s">
        <v>253</v>
      </c>
      <c r="C44" s="28" t="s">
        <v>254</v>
      </c>
      <c r="D44" s="28" t="s">
        <v>6</v>
      </c>
      <c r="E44" s="29" t="s">
        <v>34</v>
      </c>
      <c r="F44" s="28" t="s">
        <v>255</v>
      </c>
      <c r="G44" s="14" t="s">
        <v>256</v>
      </c>
      <c r="H44" s="15" t="b">
        <v>1</v>
      </c>
      <c r="I44" s="30" t="s">
        <v>141</v>
      </c>
      <c r="J44" s="14" t="s">
        <v>257</v>
      </c>
      <c r="K44" s="7" t="s">
        <v>38</v>
      </c>
      <c r="L44" s="14" t="s">
        <v>192</v>
      </c>
    </row>
    <row r="45" ht="15.75" customHeight="1">
      <c r="A45" s="28" t="s">
        <v>171</v>
      </c>
      <c r="B45" s="28" t="s">
        <v>253</v>
      </c>
      <c r="C45" s="28" t="s">
        <v>254</v>
      </c>
      <c r="D45" s="28" t="s">
        <v>7</v>
      </c>
      <c r="E45" s="29" t="s">
        <v>34</v>
      </c>
      <c r="F45" s="28" t="s">
        <v>255</v>
      </c>
      <c r="G45" s="14" t="s">
        <v>255</v>
      </c>
      <c r="H45" s="15" t="b">
        <v>1</v>
      </c>
      <c r="I45" s="30" t="s">
        <v>37</v>
      </c>
      <c r="J45" s="31"/>
      <c r="K45" s="7" t="s">
        <v>43</v>
      </c>
      <c r="L45" s="31"/>
    </row>
    <row r="46" ht="15.75" customHeight="1">
      <c r="A46" s="28" t="s">
        <v>171</v>
      </c>
      <c r="B46" s="28" t="s">
        <v>253</v>
      </c>
      <c r="C46" s="28" t="s">
        <v>254</v>
      </c>
      <c r="D46" s="28" t="s">
        <v>18</v>
      </c>
      <c r="E46" s="29" t="s">
        <v>34</v>
      </c>
      <c r="F46" s="28" t="s">
        <v>255</v>
      </c>
      <c r="G46" s="14" t="s">
        <v>255</v>
      </c>
      <c r="H46" s="15" t="b">
        <v>1</v>
      </c>
      <c r="I46" s="30" t="s">
        <v>37</v>
      </c>
      <c r="J46" s="31"/>
      <c r="K46" s="7" t="s">
        <v>43</v>
      </c>
      <c r="L46" s="31"/>
    </row>
    <row r="47" ht="15.75" customHeight="1">
      <c r="A47" s="28" t="s">
        <v>171</v>
      </c>
      <c r="B47" s="28" t="s">
        <v>258</v>
      </c>
      <c r="C47" s="28" t="s">
        <v>259</v>
      </c>
      <c r="D47" s="28" t="s">
        <v>6</v>
      </c>
      <c r="E47" s="29" t="s">
        <v>34</v>
      </c>
      <c r="F47" s="28" t="s">
        <v>260</v>
      </c>
      <c r="G47" s="14" t="s">
        <v>260</v>
      </c>
      <c r="H47" s="15" t="b">
        <v>1</v>
      </c>
      <c r="I47" s="30" t="s">
        <v>37</v>
      </c>
      <c r="J47" s="31"/>
      <c r="K47" s="7" t="s">
        <v>43</v>
      </c>
      <c r="L47" s="31"/>
    </row>
    <row r="48" ht="15.75" customHeight="1">
      <c r="A48" s="28" t="s">
        <v>171</v>
      </c>
      <c r="B48" s="28" t="s">
        <v>258</v>
      </c>
      <c r="C48" s="28" t="s">
        <v>259</v>
      </c>
      <c r="D48" s="28" t="s">
        <v>7</v>
      </c>
      <c r="E48" s="29" t="s">
        <v>34</v>
      </c>
      <c r="F48" s="28" t="s">
        <v>260</v>
      </c>
      <c r="G48" s="14" t="s">
        <v>261</v>
      </c>
      <c r="H48" s="15" t="b">
        <v>1</v>
      </c>
      <c r="I48" s="30" t="s">
        <v>37</v>
      </c>
      <c r="J48" s="31"/>
      <c r="K48" s="7" t="s">
        <v>43</v>
      </c>
      <c r="L48" s="31"/>
    </row>
    <row r="49" ht="15.75" customHeight="1">
      <c r="A49" s="28" t="s">
        <v>171</v>
      </c>
      <c r="B49" s="28" t="s">
        <v>258</v>
      </c>
      <c r="C49" s="28" t="s">
        <v>259</v>
      </c>
      <c r="D49" s="28" t="s">
        <v>18</v>
      </c>
      <c r="E49" s="29" t="s">
        <v>34</v>
      </c>
      <c r="F49" s="28" t="s">
        <v>260</v>
      </c>
      <c r="G49" s="14" t="s">
        <v>261</v>
      </c>
      <c r="H49" s="15" t="b">
        <v>1</v>
      </c>
      <c r="I49" s="30" t="s">
        <v>37</v>
      </c>
      <c r="J49" s="31"/>
      <c r="K49" s="7" t="s">
        <v>43</v>
      </c>
      <c r="L49" s="31"/>
    </row>
    <row r="50" ht="15.75" customHeight="1">
      <c r="A50" s="28" t="s">
        <v>171</v>
      </c>
      <c r="B50" s="28" t="s">
        <v>262</v>
      </c>
      <c r="C50" s="28" t="s">
        <v>263</v>
      </c>
      <c r="D50" s="28" t="s">
        <v>6</v>
      </c>
      <c r="E50" s="29" t="s">
        <v>34</v>
      </c>
      <c r="F50" s="28" t="s">
        <v>264</v>
      </c>
      <c r="G50" s="14" t="s">
        <v>265</v>
      </c>
      <c r="H50" s="15" t="b">
        <v>1</v>
      </c>
      <c r="I50" s="30" t="s">
        <v>141</v>
      </c>
      <c r="J50" s="14" t="s">
        <v>266</v>
      </c>
      <c r="K50" s="7" t="s">
        <v>38</v>
      </c>
      <c r="L50" s="31"/>
    </row>
    <row r="51" ht="15.75" customHeight="1">
      <c r="A51" s="28" t="s">
        <v>171</v>
      </c>
      <c r="B51" s="28" t="s">
        <v>262</v>
      </c>
      <c r="C51" s="28" t="s">
        <v>263</v>
      </c>
      <c r="D51" s="28" t="s">
        <v>7</v>
      </c>
      <c r="E51" s="29" t="s">
        <v>34</v>
      </c>
      <c r="F51" s="28" t="s">
        <v>264</v>
      </c>
      <c r="G51" s="14" t="s">
        <v>267</v>
      </c>
      <c r="H51" s="15" t="b">
        <v>1</v>
      </c>
      <c r="I51" s="30" t="s">
        <v>37</v>
      </c>
      <c r="J51" s="31"/>
      <c r="K51" s="7" t="s">
        <v>43</v>
      </c>
      <c r="L51" s="31"/>
    </row>
    <row r="52" ht="15.75" customHeight="1">
      <c r="A52" s="28" t="s">
        <v>171</v>
      </c>
      <c r="B52" s="28" t="s">
        <v>262</v>
      </c>
      <c r="C52" s="28" t="s">
        <v>263</v>
      </c>
      <c r="D52" s="28" t="s">
        <v>18</v>
      </c>
      <c r="E52" s="29" t="s">
        <v>34</v>
      </c>
      <c r="F52" s="28" t="s">
        <v>264</v>
      </c>
      <c r="G52" s="14" t="s">
        <v>267</v>
      </c>
      <c r="H52" s="15" t="b">
        <v>1</v>
      </c>
      <c r="I52" s="30" t="s">
        <v>37</v>
      </c>
      <c r="J52" s="31"/>
      <c r="K52" s="7" t="s">
        <v>43</v>
      </c>
      <c r="L52" s="31"/>
    </row>
    <row r="53" ht="15.75" customHeight="1">
      <c r="A53" s="28" t="s">
        <v>171</v>
      </c>
      <c r="B53" s="28" t="s">
        <v>268</v>
      </c>
      <c r="C53" s="28" t="s">
        <v>269</v>
      </c>
      <c r="D53" s="28" t="s">
        <v>6</v>
      </c>
      <c r="E53" s="29" t="s">
        <v>34</v>
      </c>
      <c r="F53" s="28" t="s">
        <v>270</v>
      </c>
      <c r="G53" s="14" t="s">
        <v>271</v>
      </c>
      <c r="H53" s="15" t="b">
        <v>1</v>
      </c>
      <c r="I53" s="30" t="s">
        <v>37</v>
      </c>
      <c r="J53" s="31"/>
      <c r="K53" s="7" t="s">
        <v>41</v>
      </c>
      <c r="L53" s="14" t="s">
        <v>272</v>
      </c>
    </row>
    <row r="54" ht="15.75" customHeight="1">
      <c r="A54" s="28" t="s">
        <v>171</v>
      </c>
      <c r="B54" s="28" t="s">
        <v>268</v>
      </c>
      <c r="C54" s="28" t="s">
        <v>269</v>
      </c>
      <c r="D54" s="28" t="s">
        <v>7</v>
      </c>
      <c r="E54" s="29" t="s">
        <v>34</v>
      </c>
      <c r="F54" s="28" t="s">
        <v>270</v>
      </c>
      <c r="G54" s="14" t="s">
        <v>270</v>
      </c>
      <c r="H54" s="15" t="b">
        <v>1</v>
      </c>
      <c r="I54" s="30" t="s">
        <v>37</v>
      </c>
      <c r="J54" s="31"/>
      <c r="K54" s="7" t="s">
        <v>43</v>
      </c>
      <c r="L54" s="31"/>
    </row>
    <row r="55" ht="15.75" customHeight="1">
      <c r="A55" s="28" t="s">
        <v>171</v>
      </c>
      <c r="B55" s="28" t="s">
        <v>268</v>
      </c>
      <c r="C55" s="28" t="s">
        <v>269</v>
      </c>
      <c r="D55" s="28" t="s">
        <v>18</v>
      </c>
      <c r="E55" s="29" t="s">
        <v>34</v>
      </c>
      <c r="F55" s="28" t="s">
        <v>270</v>
      </c>
      <c r="G55" s="14" t="s">
        <v>270</v>
      </c>
      <c r="H55" s="15" t="b">
        <v>1</v>
      </c>
      <c r="I55" s="30" t="s">
        <v>37</v>
      </c>
      <c r="J55" s="31"/>
      <c r="K55" s="7" t="s">
        <v>43</v>
      </c>
      <c r="L55" s="31"/>
    </row>
    <row r="56" ht="15.75" customHeight="1">
      <c r="A56" s="28" t="s">
        <v>171</v>
      </c>
      <c r="B56" s="28" t="s">
        <v>273</v>
      </c>
      <c r="C56" s="28" t="s">
        <v>274</v>
      </c>
      <c r="D56" s="28" t="s">
        <v>6</v>
      </c>
      <c r="E56" s="29" t="s">
        <v>34</v>
      </c>
      <c r="F56" s="28" t="s">
        <v>275</v>
      </c>
      <c r="G56" s="14" t="s">
        <v>276</v>
      </c>
      <c r="H56" s="15" t="b">
        <v>1</v>
      </c>
      <c r="I56" s="30" t="s">
        <v>141</v>
      </c>
      <c r="J56" s="14" t="s">
        <v>277</v>
      </c>
      <c r="K56" s="7" t="s">
        <v>38</v>
      </c>
      <c r="L56" s="14" t="s">
        <v>278</v>
      </c>
    </row>
    <row r="57" ht="15.75" customHeight="1">
      <c r="A57" s="28" t="s">
        <v>171</v>
      </c>
      <c r="B57" s="28" t="s">
        <v>273</v>
      </c>
      <c r="C57" s="28" t="s">
        <v>274</v>
      </c>
      <c r="D57" s="28" t="s">
        <v>7</v>
      </c>
      <c r="E57" s="29" t="s">
        <v>34</v>
      </c>
      <c r="F57" s="28" t="s">
        <v>275</v>
      </c>
      <c r="G57" s="14" t="s">
        <v>275</v>
      </c>
      <c r="H57" s="15" t="b">
        <v>1</v>
      </c>
      <c r="I57" s="30" t="s">
        <v>37</v>
      </c>
      <c r="J57" s="31"/>
      <c r="K57" s="7" t="s">
        <v>43</v>
      </c>
      <c r="L57" s="31"/>
    </row>
    <row r="58" ht="15.75" customHeight="1">
      <c r="A58" s="28" t="s">
        <v>171</v>
      </c>
      <c r="B58" s="28" t="s">
        <v>273</v>
      </c>
      <c r="C58" s="28" t="s">
        <v>274</v>
      </c>
      <c r="D58" s="28" t="s">
        <v>18</v>
      </c>
      <c r="E58" s="29" t="s">
        <v>34</v>
      </c>
      <c r="F58" s="28" t="s">
        <v>275</v>
      </c>
      <c r="G58" s="14" t="s">
        <v>275</v>
      </c>
      <c r="H58" s="15" t="b">
        <v>1</v>
      </c>
      <c r="I58" s="30" t="s">
        <v>37</v>
      </c>
      <c r="J58" s="31"/>
      <c r="K58" s="7" t="s">
        <v>43</v>
      </c>
      <c r="L58" s="14"/>
    </row>
    <row r="59" ht="15.75" customHeight="1">
      <c r="A59" s="28" t="s">
        <v>171</v>
      </c>
      <c r="B59" s="28" t="s">
        <v>279</v>
      </c>
      <c r="C59" s="28" t="s">
        <v>280</v>
      </c>
      <c r="D59" s="28" t="s">
        <v>6</v>
      </c>
      <c r="E59" s="29" t="s">
        <v>34</v>
      </c>
      <c r="F59" s="28" t="s">
        <v>281</v>
      </c>
      <c r="G59" s="14" t="s">
        <v>282</v>
      </c>
      <c r="H59" s="15" t="b">
        <v>1</v>
      </c>
      <c r="I59" s="30" t="s">
        <v>37</v>
      </c>
      <c r="J59" s="31"/>
      <c r="K59" s="7" t="s">
        <v>43</v>
      </c>
      <c r="L59" s="31"/>
    </row>
    <row r="60" ht="15.75" customHeight="1">
      <c r="A60" s="28" t="s">
        <v>171</v>
      </c>
      <c r="B60" s="28" t="s">
        <v>279</v>
      </c>
      <c r="C60" s="28" t="s">
        <v>280</v>
      </c>
      <c r="D60" s="28" t="s">
        <v>7</v>
      </c>
      <c r="E60" s="29" t="s">
        <v>34</v>
      </c>
      <c r="F60" s="28" t="s">
        <v>281</v>
      </c>
      <c r="G60" s="14" t="s">
        <v>282</v>
      </c>
      <c r="H60" s="15" t="b">
        <v>1</v>
      </c>
      <c r="I60" s="30" t="s">
        <v>37</v>
      </c>
      <c r="J60" s="31"/>
      <c r="K60" s="7" t="s">
        <v>43</v>
      </c>
      <c r="L60" s="31"/>
    </row>
    <row r="61" ht="15.75" customHeight="1">
      <c r="A61" s="28" t="s">
        <v>171</v>
      </c>
      <c r="B61" s="28" t="s">
        <v>279</v>
      </c>
      <c r="C61" s="28" t="s">
        <v>280</v>
      </c>
      <c r="D61" s="28" t="s">
        <v>18</v>
      </c>
      <c r="E61" s="29" t="s">
        <v>34</v>
      </c>
      <c r="F61" s="28" t="s">
        <v>281</v>
      </c>
      <c r="G61" s="14" t="s">
        <v>282</v>
      </c>
      <c r="H61" s="15" t="b">
        <v>1</v>
      </c>
      <c r="I61" s="30" t="s">
        <v>37</v>
      </c>
      <c r="J61" s="31"/>
      <c r="K61" s="7" t="s">
        <v>43</v>
      </c>
      <c r="L61" s="14" t="s">
        <v>283</v>
      </c>
    </row>
    <row r="62" ht="15.75" customHeight="1">
      <c r="A62" s="28" t="s">
        <v>171</v>
      </c>
      <c r="B62" s="28" t="s">
        <v>284</v>
      </c>
      <c r="C62" s="28" t="s">
        <v>285</v>
      </c>
      <c r="D62" s="28" t="s">
        <v>6</v>
      </c>
      <c r="E62" s="29" t="s">
        <v>34</v>
      </c>
      <c r="F62" s="28" t="s">
        <v>286</v>
      </c>
      <c r="G62" s="14" t="s">
        <v>287</v>
      </c>
      <c r="H62" s="15" t="b">
        <v>1</v>
      </c>
      <c r="I62" s="30" t="s">
        <v>37</v>
      </c>
      <c r="J62" s="31"/>
      <c r="K62" s="7" t="s">
        <v>43</v>
      </c>
      <c r="L62" s="31"/>
    </row>
    <row r="63" ht="15.75" customHeight="1">
      <c r="A63" s="28" t="s">
        <v>171</v>
      </c>
      <c r="B63" s="28" t="s">
        <v>284</v>
      </c>
      <c r="C63" s="28" t="s">
        <v>285</v>
      </c>
      <c r="D63" s="28" t="s">
        <v>7</v>
      </c>
      <c r="E63" s="29" t="s">
        <v>34</v>
      </c>
      <c r="F63" s="28" t="s">
        <v>286</v>
      </c>
      <c r="G63" s="14" t="s">
        <v>288</v>
      </c>
      <c r="H63" s="15" t="b">
        <v>1</v>
      </c>
      <c r="I63" s="30" t="s">
        <v>37</v>
      </c>
      <c r="J63" s="31"/>
      <c r="K63" s="7" t="s">
        <v>43</v>
      </c>
      <c r="L63" s="31"/>
    </row>
    <row r="64" ht="15.75" customHeight="1">
      <c r="A64" s="28" t="s">
        <v>171</v>
      </c>
      <c r="B64" s="28" t="s">
        <v>284</v>
      </c>
      <c r="C64" s="28" t="s">
        <v>285</v>
      </c>
      <c r="D64" s="28" t="s">
        <v>18</v>
      </c>
      <c r="E64" s="29" t="s">
        <v>34</v>
      </c>
      <c r="F64" s="28" t="s">
        <v>286</v>
      </c>
      <c r="G64" s="14" t="s">
        <v>287</v>
      </c>
      <c r="H64" s="15" t="b">
        <v>1</v>
      </c>
      <c r="I64" s="30" t="s">
        <v>37</v>
      </c>
      <c r="J64" s="31"/>
      <c r="K64" s="7" t="s">
        <v>43</v>
      </c>
      <c r="L64" s="31"/>
    </row>
    <row r="65" ht="15.75" customHeight="1">
      <c r="A65" s="28" t="s">
        <v>171</v>
      </c>
      <c r="B65" s="28" t="s">
        <v>289</v>
      </c>
      <c r="C65" s="28" t="s">
        <v>290</v>
      </c>
      <c r="D65" s="28" t="s">
        <v>6</v>
      </c>
      <c r="E65" s="29" t="s">
        <v>34</v>
      </c>
      <c r="F65" s="28" t="s">
        <v>291</v>
      </c>
      <c r="G65" s="14" t="s">
        <v>292</v>
      </c>
      <c r="H65" s="15" t="b">
        <v>1</v>
      </c>
      <c r="I65" s="30" t="s">
        <v>54</v>
      </c>
      <c r="J65" s="14" t="s">
        <v>293</v>
      </c>
      <c r="K65" s="7" t="s">
        <v>38</v>
      </c>
      <c r="L65" s="14"/>
    </row>
    <row r="66" ht="15.75" customHeight="1">
      <c r="A66" s="28" t="s">
        <v>171</v>
      </c>
      <c r="B66" s="28" t="s">
        <v>289</v>
      </c>
      <c r="C66" s="28" t="s">
        <v>290</v>
      </c>
      <c r="D66" s="28" t="s">
        <v>7</v>
      </c>
      <c r="E66" s="29" t="s">
        <v>34</v>
      </c>
      <c r="F66" s="28" t="s">
        <v>291</v>
      </c>
      <c r="G66" s="14" t="s">
        <v>294</v>
      </c>
      <c r="H66" s="15" t="b">
        <v>1</v>
      </c>
      <c r="I66" s="30" t="s">
        <v>54</v>
      </c>
      <c r="J66" s="14" t="s">
        <v>295</v>
      </c>
      <c r="K66" s="7" t="s">
        <v>38</v>
      </c>
      <c r="L66" s="31"/>
    </row>
    <row r="67" ht="15.75" customHeight="1">
      <c r="A67" s="28" t="s">
        <v>171</v>
      </c>
      <c r="B67" s="28" t="s">
        <v>289</v>
      </c>
      <c r="C67" s="28" t="s">
        <v>290</v>
      </c>
      <c r="D67" s="28" t="s">
        <v>18</v>
      </c>
      <c r="E67" s="29" t="s">
        <v>34</v>
      </c>
      <c r="F67" s="28" t="s">
        <v>291</v>
      </c>
      <c r="G67" s="14" t="s">
        <v>296</v>
      </c>
      <c r="H67" s="15" t="b">
        <v>1</v>
      </c>
      <c r="I67" s="30" t="s">
        <v>54</v>
      </c>
      <c r="J67" s="14" t="s">
        <v>293</v>
      </c>
      <c r="K67" s="7" t="s">
        <v>38</v>
      </c>
      <c r="L67" s="14" t="s">
        <v>297</v>
      </c>
    </row>
    <row r="68" ht="15.75" customHeight="1">
      <c r="A68" s="28" t="s">
        <v>171</v>
      </c>
      <c r="B68" s="28" t="s">
        <v>298</v>
      </c>
      <c r="C68" s="28" t="s">
        <v>299</v>
      </c>
      <c r="D68" s="28" t="s">
        <v>6</v>
      </c>
      <c r="E68" s="29" t="s">
        <v>34</v>
      </c>
      <c r="F68" s="28" t="s">
        <v>300</v>
      </c>
      <c r="G68" s="14" t="s">
        <v>292</v>
      </c>
      <c r="H68" s="15" t="b">
        <v>1</v>
      </c>
      <c r="I68" s="30" t="s">
        <v>37</v>
      </c>
      <c r="J68" s="14"/>
      <c r="K68" s="7" t="s">
        <v>38</v>
      </c>
      <c r="L68" s="14"/>
    </row>
    <row r="69" ht="15.75" customHeight="1">
      <c r="A69" s="28" t="s">
        <v>171</v>
      </c>
      <c r="B69" s="28" t="s">
        <v>298</v>
      </c>
      <c r="C69" s="28" t="s">
        <v>299</v>
      </c>
      <c r="D69" s="28" t="s">
        <v>7</v>
      </c>
      <c r="E69" s="29" t="s">
        <v>34</v>
      </c>
      <c r="F69" s="28" t="s">
        <v>300</v>
      </c>
      <c r="G69" s="14" t="s">
        <v>300</v>
      </c>
      <c r="H69" s="15" t="b">
        <v>1</v>
      </c>
      <c r="I69" s="30" t="s">
        <v>37</v>
      </c>
      <c r="J69" s="31"/>
      <c r="K69" s="7" t="s">
        <v>43</v>
      </c>
      <c r="L69" s="31"/>
    </row>
    <row r="70" ht="15.75" customHeight="1">
      <c r="A70" s="28" t="s">
        <v>171</v>
      </c>
      <c r="B70" s="28" t="s">
        <v>298</v>
      </c>
      <c r="C70" s="28" t="s">
        <v>299</v>
      </c>
      <c r="D70" s="28" t="s">
        <v>18</v>
      </c>
      <c r="E70" s="29" t="s">
        <v>34</v>
      </c>
      <c r="F70" s="28" t="s">
        <v>300</v>
      </c>
      <c r="G70" s="14" t="s">
        <v>296</v>
      </c>
      <c r="H70" s="15" t="b">
        <v>1</v>
      </c>
      <c r="I70" s="30" t="s">
        <v>37</v>
      </c>
      <c r="J70" s="31"/>
      <c r="K70" s="7" t="s">
        <v>38</v>
      </c>
      <c r="L70" s="14" t="s">
        <v>301</v>
      </c>
    </row>
    <row r="71" ht="15.75" customHeight="1">
      <c r="A71" s="28" t="s">
        <v>171</v>
      </c>
      <c r="B71" s="28" t="s">
        <v>302</v>
      </c>
      <c r="C71" s="28" t="s">
        <v>303</v>
      </c>
      <c r="D71" s="28" t="s">
        <v>6</v>
      </c>
      <c r="E71" s="29" t="s">
        <v>34</v>
      </c>
      <c r="F71" s="28" t="s">
        <v>296</v>
      </c>
      <c r="G71" s="14" t="s">
        <v>304</v>
      </c>
      <c r="H71" s="15" t="b">
        <v>1</v>
      </c>
      <c r="I71" s="30" t="s">
        <v>37</v>
      </c>
      <c r="J71" s="31"/>
      <c r="K71" s="7" t="s">
        <v>41</v>
      </c>
      <c r="L71" s="14" t="s">
        <v>305</v>
      </c>
    </row>
    <row r="72" ht="15.75" customHeight="1">
      <c r="A72" s="28" t="s">
        <v>171</v>
      </c>
      <c r="B72" s="28" t="s">
        <v>302</v>
      </c>
      <c r="C72" s="28" t="s">
        <v>303</v>
      </c>
      <c r="D72" s="28" t="s">
        <v>7</v>
      </c>
      <c r="E72" s="29" t="s">
        <v>34</v>
      </c>
      <c r="F72" s="28" t="s">
        <v>296</v>
      </c>
      <c r="G72" s="14" t="s">
        <v>296</v>
      </c>
      <c r="H72" s="15" t="b">
        <v>1</v>
      </c>
      <c r="I72" s="30" t="s">
        <v>37</v>
      </c>
      <c r="J72" s="31"/>
      <c r="K72" s="7" t="s">
        <v>43</v>
      </c>
      <c r="L72" s="31"/>
    </row>
    <row r="73" ht="15.75" customHeight="1">
      <c r="A73" s="28" t="s">
        <v>171</v>
      </c>
      <c r="B73" s="28" t="s">
        <v>302</v>
      </c>
      <c r="C73" s="28" t="s">
        <v>303</v>
      </c>
      <c r="D73" s="28" t="s">
        <v>18</v>
      </c>
      <c r="E73" s="29" t="s">
        <v>34</v>
      </c>
      <c r="F73" s="28" t="s">
        <v>296</v>
      </c>
      <c r="G73" s="14" t="s">
        <v>296</v>
      </c>
      <c r="H73" s="15" t="b">
        <v>1</v>
      </c>
      <c r="I73" s="30" t="s">
        <v>37</v>
      </c>
      <c r="J73" s="31"/>
      <c r="K73" s="7" t="s">
        <v>43</v>
      </c>
      <c r="L73" s="31"/>
    </row>
    <row r="74" ht="15.75" customHeight="1">
      <c r="A74" s="28" t="s">
        <v>171</v>
      </c>
      <c r="B74" s="28" t="s">
        <v>306</v>
      </c>
      <c r="C74" s="28" t="s">
        <v>307</v>
      </c>
      <c r="D74" s="28" t="s">
        <v>6</v>
      </c>
      <c r="E74" s="29" t="s">
        <v>34</v>
      </c>
      <c r="F74" s="28" t="s">
        <v>308</v>
      </c>
      <c r="G74" s="14" t="s">
        <v>309</v>
      </c>
      <c r="H74" s="15" t="b">
        <v>1</v>
      </c>
      <c r="I74" s="30" t="s">
        <v>37</v>
      </c>
      <c r="J74" s="31"/>
      <c r="K74" s="7" t="s">
        <v>41</v>
      </c>
      <c r="L74" s="14" t="s">
        <v>305</v>
      </c>
    </row>
    <row r="75" ht="15.75" customHeight="1">
      <c r="A75" s="28" t="s">
        <v>171</v>
      </c>
      <c r="B75" s="28" t="s">
        <v>306</v>
      </c>
      <c r="C75" s="28" t="s">
        <v>307</v>
      </c>
      <c r="D75" s="28" t="s">
        <v>7</v>
      </c>
      <c r="E75" s="29" t="s">
        <v>34</v>
      </c>
      <c r="F75" s="28" t="s">
        <v>308</v>
      </c>
      <c r="G75" s="14" t="s">
        <v>308</v>
      </c>
      <c r="H75" s="15" t="b">
        <v>1</v>
      </c>
      <c r="I75" s="30" t="s">
        <v>37</v>
      </c>
      <c r="J75" s="31"/>
      <c r="K75" s="7" t="s">
        <v>43</v>
      </c>
      <c r="L75" s="31"/>
    </row>
    <row r="76" ht="15.75" customHeight="1">
      <c r="A76" s="28" t="s">
        <v>171</v>
      </c>
      <c r="B76" s="28" t="s">
        <v>306</v>
      </c>
      <c r="C76" s="28" t="s">
        <v>307</v>
      </c>
      <c r="D76" s="28" t="s">
        <v>18</v>
      </c>
      <c r="E76" s="29" t="s">
        <v>34</v>
      </c>
      <c r="F76" s="28" t="s">
        <v>308</v>
      </c>
      <c r="G76" s="14" t="s">
        <v>310</v>
      </c>
      <c r="H76" s="15" t="b">
        <v>1</v>
      </c>
      <c r="I76" s="30" t="s">
        <v>37</v>
      </c>
      <c r="J76" s="31"/>
      <c r="K76" s="7" t="s">
        <v>38</v>
      </c>
      <c r="L76" s="14" t="s">
        <v>311</v>
      </c>
    </row>
    <row r="77" ht="15.75" customHeight="1">
      <c r="A77" s="28" t="s">
        <v>171</v>
      </c>
      <c r="B77" s="28" t="s">
        <v>312</v>
      </c>
      <c r="C77" s="28" t="s">
        <v>313</v>
      </c>
      <c r="D77" s="28" t="s">
        <v>6</v>
      </c>
      <c r="E77" s="29" t="s">
        <v>34</v>
      </c>
      <c r="F77" s="28" t="s">
        <v>310</v>
      </c>
      <c r="G77" s="14" t="s">
        <v>304</v>
      </c>
      <c r="H77" s="15" t="b">
        <v>1</v>
      </c>
      <c r="I77" s="30" t="s">
        <v>37</v>
      </c>
      <c r="J77" s="31"/>
      <c r="K77" s="7" t="s">
        <v>41</v>
      </c>
      <c r="L77" s="14" t="s">
        <v>305</v>
      </c>
    </row>
    <row r="78" ht="15.75" customHeight="1">
      <c r="A78" s="28" t="s">
        <v>171</v>
      </c>
      <c r="B78" s="28" t="s">
        <v>312</v>
      </c>
      <c r="C78" s="28" t="s">
        <v>313</v>
      </c>
      <c r="D78" s="28" t="s">
        <v>7</v>
      </c>
      <c r="E78" s="29" t="s">
        <v>34</v>
      </c>
      <c r="F78" s="28" t="s">
        <v>310</v>
      </c>
      <c r="G78" s="14" t="s">
        <v>310</v>
      </c>
      <c r="H78" s="15" t="b">
        <v>1</v>
      </c>
      <c r="I78" s="30" t="s">
        <v>37</v>
      </c>
      <c r="J78" s="31"/>
      <c r="K78" s="7" t="s">
        <v>43</v>
      </c>
      <c r="L78" s="31"/>
    </row>
    <row r="79" ht="15.75" customHeight="1">
      <c r="A79" s="28" t="s">
        <v>171</v>
      </c>
      <c r="B79" s="28" t="s">
        <v>312</v>
      </c>
      <c r="C79" s="28" t="s">
        <v>313</v>
      </c>
      <c r="D79" s="28" t="s">
        <v>18</v>
      </c>
      <c r="E79" s="29" t="s">
        <v>34</v>
      </c>
      <c r="F79" s="28" t="s">
        <v>310</v>
      </c>
      <c r="G79" s="14" t="s">
        <v>310</v>
      </c>
      <c r="H79" s="15" t="b">
        <v>1</v>
      </c>
      <c r="I79" s="30" t="s">
        <v>37</v>
      </c>
      <c r="J79" s="31"/>
      <c r="K79" s="7" t="s">
        <v>43</v>
      </c>
      <c r="L79" s="31"/>
    </row>
    <row r="80" ht="15.75" customHeight="1">
      <c r="A80" s="28" t="s">
        <v>171</v>
      </c>
      <c r="B80" s="28" t="s">
        <v>314</v>
      </c>
      <c r="C80" s="28" t="s">
        <v>315</v>
      </c>
      <c r="D80" s="28" t="s">
        <v>6</v>
      </c>
      <c r="E80" s="29" t="s">
        <v>34</v>
      </c>
      <c r="F80" s="28" t="s">
        <v>316</v>
      </c>
      <c r="G80" s="14" t="s">
        <v>317</v>
      </c>
      <c r="H80" s="15" t="b">
        <v>1</v>
      </c>
      <c r="I80" s="30" t="s">
        <v>141</v>
      </c>
      <c r="J80" s="14" t="s">
        <v>318</v>
      </c>
      <c r="K80" s="7" t="s">
        <v>38</v>
      </c>
      <c r="L80" s="31"/>
    </row>
    <row r="81" ht="15.75" customHeight="1">
      <c r="A81" s="28" t="s">
        <v>171</v>
      </c>
      <c r="B81" s="28" t="s">
        <v>314</v>
      </c>
      <c r="C81" s="28" t="s">
        <v>315</v>
      </c>
      <c r="D81" s="28" t="s">
        <v>7</v>
      </c>
      <c r="E81" s="29" t="s">
        <v>34</v>
      </c>
      <c r="F81" s="28" t="s">
        <v>316</v>
      </c>
      <c r="G81" s="14" t="s">
        <v>316</v>
      </c>
      <c r="H81" s="15" t="b">
        <v>1</v>
      </c>
      <c r="I81" s="30" t="s">
        <v>37</v>
      </c>
      <c r="J81" s="31"/>
      <c r="K81" s="7" t="s">
        <v>43</v>
      </c>
      <c r="L81" s="31"/>
    </row>
    <row r="82" ht="15.75" customHeight="1">
      <c r="A82" s="28" t="s">
        <v>171</v>
      </c>
      <c r="B82" s="28" t="s">
        <v>314</v>
      </c>
      <c r="C82" s="28" t="s">
        <v>315</v>
      </c>
      <c r="D82" s="28" t="s">
        <v>18</v>
      </c>
      <c r="E82" s="29" t="s">
        <v>34</v>
      </c>
      <c r="F82" s="28" t="s">
        <v>316</v>
      </c>
      <c r="G82" s="14" t="s">
        <v>316</v>
      </c>
      <c r="H82" s="15" t="b">
        <v>1</v>
      </c>
      <c r="I82" s="30" t="s">
        <v>37</v>
      </c>
      <c r="J82" s="31"/>
      <c r="K82" s="7" t="s">
        <v>43</v>
      </c>
      <c r="L82" s="31"/>
    </row>
    <row r="83" ht="15.75" customHeight="1">
      <c r="A83" s="28" t="s">
        <v>171</v>
      </c>
      <c r="B83" s="28" t="s">
        <v>319</v>
      </c>
      <c r="C83" s="28" t="s">
        <v>320</v>
      </c>
      <c r="D83" s="28" t="s">
        <v>6</v>
      </c>
      <c r="E83" s="29" t="s">
        <v>34</v>
      </c>
      <c r="F83" s="28" t="s">
        <v>270</v>
      </c>
      <c r="G83" s="14" t="s">
        <v>271</v>
      </c>
      <c r="H83" s="15" t="b">
        <v>1</v>
      </c>
      <c r="I83" s="30" t="s">
        <v>37</v>
      </c>
      <c r="J83" s="31"/>
      <c r="K83" s="7" t="s">
        <v>41</v>
      </c>
      <c r="L83" s="31"/>
    </row>
    <row r="84" ht="15.75" customHeight="1">
      <c r="A84" s="28" t="s">
        <v>171</v>
      </c>
      <c r="B84" s="28" t="s">
        <v>319</v>
      </c>
      <c r="C84" s="28" t="s">
        <v>320</v>
      </c>
      <c r="D84" s="28" t="s">
        <v>7</v>
      </c>
      <c r="E84" s="29" t="s">
        <v>34</v>
      </c>
      <c r="F84" s="28" t="s">
        <v>270</v>
      </c>
      <c r="G84" s="14" t="s">
        <v>270</v>
      </c>
      <c r="H84" s="15" t="b">
        <v>1</v>
      </c>
      <c r="I84" s="30" t="s">
        <v>37</v>
      </c>
      <c r="J84" s="31"/>
      <c r="K84" s="7" t="s">
        <v>43</v>
      </c>
      <c r="L84" s="31"/>
    </row>
    <row r="85" ht="15.75" customHeight="1">
      <c r="A85" s="28" t="s">
        <v>171</v>
      </c>
      <c r="B85" s="28" t="s">
        <v>319</v>
      </c>
      <c r="C85" s="28" t="s">
        <v>320</v>
      </c>
      <c r="D85" s="28" t="s">
        <v>18</v>
      </c>
      <c r="E85" s="29" t="s">
        <v>34</v>
      </c>
      <c r="F85" s="28" t="s">
        <v>270</v>
      </c>
      <c r="G85" s="14" t="s">
        <v>270</v>
      </c>
      <c r="H85" s="15" t="b">
        <v>1</v>
      </c>
      <c r="I85" s="30" t="s">
        <v>37</v>
      </c>
      <c r="J85" s="31"/>
      <c r="K85" s="7" t="s">
        <v>43</v>
      </c>
      <c r="L85" s="31"/>
    </row>
    <row r="86" ht="15.75" customHeight="1">
      <c r="A86" s="28" t="s">
        <v>171</v>
      </c>
      <c r="B86" s="28" t="s">
        <v>321</v>
      </c>
      <c r="C86" s="28" t="s">
        <v>322</v>
      </c>
      <c r="D86" s="28" t="s">
        <v>6</v>
      </c>
      <c r="E86" s="29" t="s">
        <v>34</v>
      </c>
      <c r="F86" s="28" t="s">
        <v>323</v>
      </c>
      <c r="G86" s="14" t="s">
        <v>323</v>
      </c>
      <c r="H86" s="15" t="b">
        <v>1</v>
      </c>
      <c r="I86" s="30" t="s">
        <v>37</v>
      </c>
      <c r="J86" s="31"/>
      <c r="K86" s="7" t="s">
        <v>43</v>
      </c>
      <c r="L86" s="31"/>
    </row>
    <row r="87" ht="15.75" customHeight="1">
      <c r="A87" s="28" t="s">
        <v>171</v>
      </c>
      <c r="B87" s="28" t="s">
        <v>321</v>
      </c>
      <c r="C87" s="28" t="s">
        <v>322</v>
      </c>
      <c r="D87" s="28" t="s">
        <v>7</v>
      </c>
      <c r="E87" s="29" t="s">
        <v>34</v>
      </c>
      <c r="F87" s="28" t="s">
        <v>323</v>
      </c>
      <c r="G87" s="14" t="s">
        <v>323</v>
      </c>
      <c r="H87" s="15" t="b">
        <v>1</v>
      </c>
      <c r="I87" s="30" t="s">
        <v>37</v>
      </c>
      <c r="J87" s="31"/>
      <c r="K87" s="7" t="s">
        <v>43</v>
      </c>
      <c r="L87" s="31"/>
    </row>
    <row r="88" ht="15.75" customHeight="1">
      <c r="A88" s="28" t="s">
        <v>171</v>
      </c>
      <c r="B88" s="28" t="s">
        <v>321</v>
      </c>
      <c r="C88" s="28" t="s">
        <v>322</v>
      </c>
      <c r="D88" s="28" t="s">
        <v>18</v>
      </c>
      <c r="E88" s="29" t="s">
        <v>34</v>
      </c>
      <c r="F88" s="28" t="s">
        <v>323</v>
      </c>
      <c r="G88" s="14" t="s">
        <v>323</v>
      </c>
      <c r="H88" s="15" t="b">
        <v>1</v>
      </c>
      <c r="I88" s="30" t="s">
        <v>37</v>
      </c>
      <c r="J88" s="31"/>
      <c r="K88" s="7" t="s">
        <v>43</v>
      </c>
      <c r="L88" s="31"/>
    </row>
    <row r="89" ht="15.75" customHeight="1">
      <c r="A89" s="28" t="s">
        <v>171</v>
      </c>
      <c r="B89" s="28" t="s">
        <v>324</v>
      </c>
      <c r="C89" s="28" t="s">
        <v>325</v>
      </c>
      <c r="D89" s="28" t="s">
        <v>6</v>
      </c>
      <c r="E89" s="29" t="s">
        <v>34</v>
      </c>
      <c r="F89" s="28" t="s">
        <v>326</v>
      </c>
      <c r="G89" s="14" t="s">
        <v>326</v>
      </c>
      <c r="H89" s="15" t="b">
        <v>1</v>
      </c>
      <c r="I89" s="30" t="s">
        <v>37</v>
      </c>
      <c r="J89" s="31"/>
      <c r="K89" s="7" t="s">
        <v>43</v>
      </c>
      <c r="L89" s="31"/>
    </row>
    <row r="90" ht="15.75" customHeight="1">
      <c r="A90" s="28" t="s">
        <v>171</v>
      </c>
      <c r="B90" s="28" t="s">
        <v>324</v>
      </c>
      <c r="C90" s="28" t="s">
        <v>325</v>
      </c>
      <c r="D90" s="28" t="s">
        <v>7</v>
      </c>
      <c r="E90" s="29" t="s">
        <v>34</v>
      </c>
      <c r="F90" s="28" t="s">
        <v>326</v>
      </c>
      <c r="G90" s="14" t="s">
        <v>326</v>
      </c>
      <c r="H90" s="15" t="b">
        <v>1</v>
      </c>
      <c r="I90" s="30" t="s">
        <v>37</v>
      </c>
      <c r="J90" s="31"/>
      <c r="K90" s="7" t="s">
        <v>43</v>
      </c>
      <c r="L90" s="31"/>
    </row>
    <row r="91" ht="15.75" customHeight="1">
      <c r="A91" s="28" t="s">
        <v>171</v>
      </c>
      <c r="B91" s="28" t="s">
        <v>324</v>
      </c>
      <c r="C91" s="28" t="s">
        <v>325</v>
      </c>
      <c r="D91" s="28" t="s">
        <v>18</v>
      </c>
      <c r="E91" s="29" t="s">
        <v>34</v>
      </c>
      <c r="F91" s="28" t="s">
        <v>326</v>
      </c>
      <c r="G91" s="14" t="s">
        <v>326</v>
      </c>
      <c r="H91" s="15" t="b">
        <v>1</v>
      </c>
      <c r="I91" s="30" t="s">
        <v>37</v>
      </c>
      <c r="J91" s="31"/>
      <c r="K91" s="7" t="s">
        <v>43</v>
      </c>
      <c r="L91" s="31"/>
    </row>
    <row r="92" ht="15.75" customHeight="1">
      <c r="A92" s="28" t="s">
        <v>171</v>
      </c>
      <c r="B92" s="28" t="s">
        <v>327</v>
      </c>
      <c r="C92" s="28" t="s">
        <v>328</v>
      </c>
      <c r="D92" s="28" t="s">
        <v>6</v>
      </c>
      <c r="E92" s="29" t="s">
        <v>34</v>
      </c>
      <c r="F92" s="28" t="s">
        <v>329</v>
      </c>
      <c r="G92" s="14" t="s">
        <v>330</v>
      </c>
      <c r="H92" s="15" t="b">
        <v>1</v>
      </c>
      <c r="I92" s="30" t="s">
        <v>141</v>
      </c>
      <c r="J92" s="14" t="s">
        <v>331</v>
      </c>
      <c r="K92" s="7" t="s">
        <v>38</v>
      </c>
      <c r="L92" s="14" t="s">
        <v>192</v>
      </c>
    </row>
    <row r="93" ht="15.75" customHeight="1">
      <c r="A93" s="28" t="s">
        <v>171</v>
      </c>
      <c r="B93" s="28" t="s">
        <v>327</v>
      </c>
      <c r="C93" s="28" t="s">
        <v>328</v>
      </c>
      <c r="D93" s="28" t="s">
        <v>7</v>
      </c>
      <c r="E93" s="29" t="s">
        <v>34</v>
      </c>
      <c r="F93" s="28" t="s">
        <v>329</v>
      </c>
      <c r="G93" s="14" t="s">
        <v>329</v>
      </c>
      <c r="H93" s="15" t="b">
        <v>1</v>
      </c>
      <c r="I93" s="30" t="s">
        <v>37</v>
      </c>
      <c r="J93" s="31"/>
      <c r="K93" s="7" t="s">
        <v>43</v>
      </c>
      <c r="L93" s="31"/>
    </row>
    <row r="94" ht="15.75" customHeight="1">
      <c r="A94" s="28" t="s">
        <v>171</v>
      </c>
      <c r="B94" s="28" t="s">
        <v>327</v>
      </c>
      <c r="C94" s="28" t="s">
        <v>328</v>
      </c>
      <c r="D94" s="28" t="s">
        <v>18</v>
      </c>
      <c r="E94" s="29" t="s">
        <v>34</v>
      </c>
      <c r="F94" s="28" t="s">
        <v>329</v>
      </c>
      <c r="G94" s="14" t="s">
        <v>329</v>
      </c>
      <c r="H94" s="15" t="b">
        <v>1</v>
      </c>
      <c r="I94" s="30" t="s">
        <v>37</v>
      </c>
      <c r="J94" s="31"/>
      <c r="K94" s="7" t="s">
        <v>43</v>
      </c>
      <c r="L94" s="31"/>
    </row>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sheetData>
  <dataValidations>
    <dataValidation type="list" allowBlank="1" sqref="K2:K94">
      <formula1>"correct,over_assertive,under_assertive,wrong_assertion,not_executable"</formula1>
    </dataValidation>
    <dataValidation type="list" allowBlank="1" sqref="I2:I94">
      <formula1>"PASS,FAIL,RUNTIME ERROR,COMPILATION ERROR"</formula1>
    </dataValidation>
    <dataValidation type="list" allowBlank="1" sqref="H2:H94">
      <formula1>"TRUE,FALSE"</formula1>
    </dataValidation>
    <dataValidation allowBlank="1" showDropDown="1" sqref="A2:G94 J2:J94 L2:L94"/>
  </dataValidations>
  <printOptions/>
  <pageMargins bottom="1.0" footer="0.0" header="0.0" left="0.75" right="0.75" top="1.0"/>
  <pageSetup paperSize="9" orientation="portrait"/>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5.0"/>
    <col customWidth="1" min="3" max="3" width="25.29"/>
    <col customWidth="1" min="4" max="4" width="31.29"/>
    <col customWidth="1" min="5" max="5" width="15.0"/>
    <col customWidth="1" min="6" max="7" width="50.0"/>
    <col customWidth="1" min="8" max="9" width="10.0"/>
    <col customWidth="1" min="10" max="10" width="40.0"/>
    <col customWidth="1" min="11" max="11" width="22.0"/>
    <col customWidth="1" min="12" max="12" width="30.0"/>
    <col customWidth="1" min="13" max="26" width="8.71"/>
  </cols>
  <sheetData>
    <row r="1">
      <c r="A1" s="36" t="s">
        <v>19</v>
      </c>
      <c r="B1" s="36" t="s">
        <v>20</v>
      </c>
      <c r="C1" s="36" t="s">
        <v>21</v>
      </c>
      <c r="D1" s="36" t="s">
        <v>22</v>
      </c>
      <c r="E1" s="36" t="s">
        <v>23</v>
      </c>
      <c r="F1" s="36" t="s">
        <v>24</v>
      </c>
      <c r="G1" s="36" t="s">
        <v>25</v>
      </c>
      <c r="H1" s="36" t="s">
        <v>26</v>
      </c>
      <c r="I1" s="36" t="s">
        <v>27</v>
      </c>
      <c r="J1" s="36" t="s">
        <v>28</v>
      </c>
      <c r="K1" s="36" t="s">
        <v>29</v>
      </c>
      <c r="L1" s="36" t="s">
        <v>30</v>
      </c>
    </row>
    <row r="2" ht="255.0" customHeight="1">
      <c r="A2" s="37" t="s">
        <v>332</v>
      </c>
      <c r="B2" s="37" t="s">
        <v>333</v>
      </c>
      <c r="C2" s="37" t="s">
        <v>334</v>
      </c>
      <c r="D2" s="37" t="s">
        <v>6</v>
      </c>
      <c r="E2" s="38" t="s">
        <v>335</v>
      </c>
      <c r="F2" s="37" t="s">
        <v>336</v>
      </c>
      <c r="G2" s="37" t="s">
        <v>337</v>
      </c>
      <c r="H2" s="37" t="b">
        <v>1</v>
      </c>
      <c r="I2" s="39" t="s">
        <v>338</v>
      </c>
      <c r="J2" s="37" t="s">
        <v>339</v>
      </c>
      <c r="K2" s="37" t="s">
        <v>38</v>
      </c>
      <c r="L2" s="37"/>
    </row>
    <row r="3" ht="30.0" customHeight="1">
      <c r="A3" s="37" t="s">
        <v>332</v>
      </c>
      <c r="B3" s="37" t="s">
        <v>340</v>
      </c>
      <c r="C3" s="37" t="s">
        <v>341</v>
      </c>
      <c r="D3" s="37" t="s">
        <v>7</v>
      </c>
      <c r="E3" s="38" t="s">
        <v>335</v>
      </c>
      <c r="F3" s="37" t="s">
        <v>342</v>
      </c>
      <c r="G3" s="37" t="s">
        <v>342</v>
      </c>
      <c r="H3" s="37" t="b">
        <v>1</v>
      </c>
      <c r="I3" s="40" t="s">
        <v>3</v>
      </c>
      <c r="J3" s="37"/>
      <c r="K3" s="37" t="s">
        <v>43</v>
      </c>
      <c r="L3" s="37"/>
    </row>
    <row r="4" ht="30.0" customHeight="1">
      <c r="A4" s="37" t="s">
        <v>332</v>
      </c>
      <c r="B4" s="37" t="s">
        <v>340</v>
      </c>
      <c r="C4" s="37" t="s">
        <v>341</v>
      </c>
      <c r="D4" s="37" t="s">
        <v>8</v>
      </c>
      <c r="E4" s="38" t="s">
        <v>335</v>
      </c>
      <c r="F4" s="37" t="s">
        <v>342</v>
      </c>
      <c r="G4" s="37" t="s">
        <v>343</v>
      </c>
      <c r="H4" s="37" t="b">
        <v>1</v>
      </c>
      <c r="I4" s="40" t="s">
        <v>3</v>
      </c>
      <c r="J4" s="37"/>
      <c r="K4" s="37" t="s">
        <v>43</v>
      </c>
      <c r="L4" s="37"/>
    </row>
    <row r="5" ht="30.0" customHeight="1">
      <c r="A5" s="37" t="s">
        <v>332</v>
      </c>
      <c r="B5" s="37" t="s">
        <v>340</v>
      </c>
      <c r="C5" s="37" t="s">
        <v>341</v>
      </c>
      <c r="D5" s="37" t="s">
        <v>8</v>
      </c>
      <c r="E5" s="38" t="s">
        <v>335</v>
      </c>
      <c r="F5" s="37" t="s">
        <v>342</v>
      </c>
      <c r="G5" s="37" t="s">
        <v>342</v>
      </c>
      <c r="H5" s="37" t="b">
        <v>1</v>
      </c>
      <c r="I5" s="40" t="s">
        <v>3</v>
      </c>
      <c r="J5" s="37"/>
      <c r="K5" s="37" t="s">
        <v>43</v>
      </c>
      <c r="L5" s="37"/>
    </row>
    <row r="6" ht="30.0" customHeight="1">
      <c r="A6" s="37" t="s">
        <v>332</v>
      </c>
      <c r="B6" s="37" t="s">
        <v>344</v>
      </c>
      <c r="C6" s="37" t="s">
        <v>345</v>
      </c>
      <c r="D6" s="37" t="s">
        <v>6</v>
      </c>
      <c r="E6" s="38" t="s">
        <v>335</v>
      </c>
      <c r="F6" s="37" t="s">
        <v>346</v>
      </c>
      <c r="G6" s="37" t="s">
        <v>347</v>
      </c>
      <c r="H6" s="37" t="b">
        <v>1</v>
      </c>
      <c r="I6" s="40" t="s">
        <v>3</v>
      </c>
      <c r="J6" s="37"/>
      <c r="K6" s="37" t="s">
        <v>41</v>
      </c>
      <c r="L6" s="37"/>
    </row>
    <row r="7" ht="30.0" customHeight="1">
      <c r="A7" s="37" t="s">
        <v>332</v>
      </c>
      <c r="B7" s="37" t="s">
        <v>344</v>
      </c>
      <c r="C7" s="37" t="s">
        <v>345</v>
      </c>
      <c r="D7" s="37" t="s">
        <v>7</v>
      </c>
      <c r="E7" s="38" t="s">
        <v>335</v>
      </c>
      <c r="F7" s="37" t="s">
        <v>346</v>
      </c>
      <c r="G7" s="37" t="s">
        <v>346</v>
      </c>
      <c r="H7" s="37" t="b">
        <v>1</v>
      </c>
      <c r="I7" s="40" t="s">
        <v>3</v>
      </c>
      <c r="J7" s="37"/>
      <c r="K7" s="37" t="s">
        <v>43</v>
      </c>
      <c r="L7" s="37"/>
    </row>
    <row r="8" ht="75.0" customHeight="1">
      <c r="A8" s="37" t="s">
        <v>332</v>
      </c>
      <c r="B8" s="37" t="s">
        <v>348</v>
      </c>
      <c r="C8" s="37" t="s">
        <v>349</v>
      </c>
      <c r="D8" s="37" t="s">
        <v>6</v>
      </c>
      <c r="E8" s="38" t="s">
        <v>335</v>
      </c>
      <c r="F8" s="37" t="s">
        <v>350</v>
      </c>
      <c r="G8" s="37" t="s">
        <v>351</v>
      </c>
      <c r="H8" s="37" t="b">
        <v>1</v>
      </c>
      <c r="I8" s="39" t="s">
        <v>4</v>
      </c>
      <c r="J8" s="37" t="s">
        <v>352</v>
      </c>
      <c r="K8" s="37" t="s">
        <v>38</v>
      </c>
      <c r="L8" s="37"/>
    </row>
    <row r="9">
      <c r="D9" s="4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L$8"/>
  <dataValidations>
    <dataValidation type="list" allowBlank="1" sqref="K2:K8">
      <formula1>"correct,over_assertive,under_assertive,wrong_assertion,not_executable"</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55.0"/>
    <col customWidth="1" min="3" max="3" width="65.0"/>
    <col customWidth="1" min="4" max="26" width="8.71"/>
  </cols>
  <sheetData>
    <row r="1">
      <c r="A1" s="42" t="s">
        <v>353</v>
      </c>
      <c r="B1" s="42" t="s">
        <v>354</v>
      </c>
      <c r="C1" s="42" t="s">
        <v>355</v>
      </c>
    </row>
    <row r="2" ht="30.0" customHeight="1">
      <c r="A2" s="43" t="s">
        <v>43</v>
      </c>
      <c r="B2" s="43" t="s">
        <v>356</v>
      </c>
      <c r="C2" s="43" t="s">
        <v>357</v>
      </c>
    </row>
    <row r="3" ht="30.0" customHeight="1">
      <c r="A3" s="43" t="s">
        <v>123</v>
      </c>
      <c r="B3" s="43" t="s">
        <v>358</v>
      </c>
      <c r="C3" s="43" t="s">
        <v>359</v>
      </c>
    </row>
    <row r="4" ht="30.0" customHeight="1">
      <c r="A4" s="43" t="s">
        <v>41</v>
      </c>
      <c r="B4" s="43" t="s">
        <v>360</v>
      </c>
      <c r="C4" s="43" t="s">
        <v>361</v>
      </c>
    </row>
    <row r="5" ht="30.0" customHeight="1">
      <c r="A5" s="43" t="s">
        <v>38</v>
      </c>
      <c r="B5" s="43" t="s">
        <v>362</v>
      </c>
      <c r="C5" s="43" t="s">
        <v>363</v>
      </c>
    </row>
    <row r="6">
      <c r="A6" s="43" t="s">
        <v>56</v>
      </c>
      <c r="B6" s="43" t="s">
        <v>364</v>
      </c>
      <c r="C6" s="43" t="s">
        <v>365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